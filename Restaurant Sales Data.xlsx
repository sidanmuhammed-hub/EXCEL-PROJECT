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160C9668-F7CE-4028-9C52-0CB3AD859CE5}" xr6:coauthVersionLast="47" xr6:coauthVersionMax="47" xr10:uidLastSave="{00000000-0000-0000-0000-000000000000}"/>
  <bookViews>
    <workbookView xWindow="-120" yWindow="-120" windowWidth="20730" windowHeight="11160" firstSheet="2" activeTab="8" xr2:uid="{00000000-000D-0000-FFFF-FFFF00000000}"/>
  </bookViews>
  <sheets>
    <sheet name="Raw Data" sheetId="1" r:id="rId1"/>
    <sheet name="Charts new" sheetId="14" r:id="rId2"/>
    <sheet name="Cleaned Data" sheetId="3" r:id="rId3"/>
    <sheet name="Dashboard" sheetId="10" r:id="rId4"/>
    <sheet name="Charts" sheetId="9" r:id="rId5"/>
    <sheet name="Changelog" sheetId="4" r:id="rId6"/>
    <sheet name="Questions" sheetId="12" r:id="rId7"/>
    <sheet name="Analysis" sheetId="5" r:id="rId8"/>
    <sheet name="Insights" sheetId="8" r:id="rId9"/>
  </sheets>
  <definedNames>
    <definedName name="Slicer_City">#N/A</definedName>
    <definedName name="Slicer_Month">#N/A</definedName>
    <definedName name="Slicer_Payment_Method">#N/A</definedName>
    <definedName name="Slicer_Product">#N/A</definedName>
    <definedName name="Slicer_Purchase_Type">#N/A</definedName>
  </definedNames>
  <calcPr calcId="191029"/>
  <pivotCaches>
    <pivotCache cacheId="0"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 i="3"/>
  <c r="F45" i="9"/>
  <c r="B28" i="9"/>
  <c r="G9" i="5"/>
  <c r="G8" i="5"/>
  <c r="G7" i="5"/>
  <c r="G6" i="5"/>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<sst xmlns="http://schemas.openxmlformats.org/spreadsheetml/2006/main" count="2832" uniqueCount="120">
  <si>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</si>
  <si>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</si>
  <si>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</si>
  <si>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</si>
  <si>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</si>
  <si>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</si>
  <si>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</si>
  <si>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</si>
  <si>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</si>
  <si>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</si>
  <si>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</si>
  <si>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</si>
  <si>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</si>
  <si>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</si>
  <si>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</si>
  <si>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</si>
  <si>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</si>
  <si>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</si>
  <si>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</si>
  <si>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</si>
  <si>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</si>
  <si>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</si>
  <si>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</si>
  <si>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</si>
  <si>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</si>
  <si>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</si>
  <si>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</si>
  <si>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</si>
  <si>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</si>
  <si>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</si>
  <si>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</si>
  <si>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</si>
  <si>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</si>
  <si>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</si>
  <si>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</si>
  <si>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13-11-2022</t>
  </si>
  <si>
    <t>Joao Silva</t>
  </si>
  <si>
    <t>14-11-2022</t>
  </si>
  <si>
    <t>15-11-2022</t>
  </si>
  <si>
    <t>16-11-2022</t>
  </si>
  <si>
    <t xml:space="preserve">Drive-thru </t>
  </si>
  <si>
    <t>17-11-2022</t>
  </si>
  <si>
    <t>18-11-2022</t>
  </si>
  <si>
    <t>19-11-2022</t>
  </si>
  <si>
    <t xml:space="preserve"> Cash</t>
  </si>
  <si>
    <t>20-11-2022</t>
  </si>
  <si>
    <t>21-11-2022</t>
  </si>
  <si>
    <t>22-11-2022</t>
  </si>
  <si>
    <t>23-11-2022</t>
  </si>
  <si>
    <t>24-11-2022</t>
  </si>
  <si>
    <t>25-11-2022</t>
  </si>
  <si>
    <t>Tom Jackson</t>
  </si>
  <si>
    <t>26-11-2022</t>
  </si>
  <si>
    <t>27-11-2022</t>
  </si>
  <si>
    <t>28-11-2022</t>
  </si>
  <si>
    <t>29-11-2022</t>
  </si>
  <si>
    <t>30-11-2022</t>
  </si>
  <si>
    <t>13-12-2022</t>
  </si>
  <si>
    <t>14-12-2022</t>
  </si>
  <si>
    <t>15-12-2022</t>
  </si>
  <si>
    <t>16-12-2022</t>
  </si>
  <si>
    <t>17-12-2022</t>
  </si>
  <si>
    <t>18-12-2022</t>
  </si>
  <si>
    <t>19-12-2022</t>
  </si>
  <si>
    <t>20-12-2022</t>
  </si>
  <si>
    <t>21-12-2022</t>
  </si>
  <si>
    <t>22-12-2022</t>
  </si>
  <si>
    <t>23-12-2022</t>
  </si>
  <si>
    <t>24-12-2022</t>
  </si>
  <si>
    <t>25-12-2022</t>
  </si>
  <si>
    <t>26-12-2022</t>
  </si>
  <si>
    <t>27-12-2022</t>
  </si>
  <si>
    <t>28-12-2022</t>
  </si>
  <si>
    <t>29-12-2022</t>
  </si>
  <si>
    <t>Quantity Category</t>
  </si>
  <si>
    <t>1.Find the average Price of the all products?</t>
  </si>
  <si>
    <t>3.Count how many purchases were made in-store?</t>
  </si>
  <si>
    <t>RESTAURANT DATA</t>
  </si>
  <si>
    <t>Row Labels</t>
  </si>
  <si>
    <t>Grand Total</t>
  </si>
  <si>
    <t>Average of Price</t>
  </si>
  <si>
    <t>Max of Price</t>
  </si>
  <si>
    <t>Count of Price</t>
  </si>
  <si>
    <t>Max of Goss sales</t>
  </si>
  <si>
    <t>Dashboard questions</t>
  </si>
  <si>
    <t>Analysis questions</t>
  </si>
  <si>
    <t>1.Find the minimum price?</t>
  </si>
  <si>
    <t>2.Find the average Quantity?</t>
  </si>
  <si>
    <t>3.Find the total Gross Sales for Paris?</t>
  </si>
  <si>
    <t>4.Find the total sales sold?</t>
  </si>
  <si>
    <t>5.Which prodect has the highest Quantity?</t>
  </si>
  <si>
    <t>Sum of Quantity</t>
  </si>
  <si>
    <t>Sum of Goss sales</t>
  </si>
  <si>
    <t>1.Created a copy of the dataset to clean</t>
  </si>
  <si>
    <t>2.Cleaned the Manager names coloumn by removing extra space using "TRIM" function</t>
  </si>
  <si>
    <t>3.Copied the newly created manager coloumn and pasted it on the orginal manager coloumn using paste special values</t>
  </si>
  <si>
    <t>4.Checked the order ID coloumn to see whether there is duplicate values or not by using "CONDITIONAL FORMATTING" ,highlighting the duplication values,But did't found one.</t>
  </si>
  <si>
    <t xml:space="preserve">5.Changed the datatype of coloumn"TOTAL SALES" and "PRICE" from GENERAL to CURRENCY for getter understanding </t>
  </si>
  <si>
    <t>6.Created a new coloumn named "TOTAL SALES "by multiplying Quantity and price</t>
  </si>
  <si>
    <t>7.This messing dataset have been cleaned and changed into aneat table and seperated the header rows for better understanding.</t>
  </si>
  <si>
    <t>8.created a new coloumn nemed "QUANTITY CATEGORY" categories in  to "HIGH QUANTITY" and "LOW QUANTITY" .</t>
  </si>
  <si>
    <t>Total sales</t>
  </si>
  <si>
    <t>2.Fine the highest Total sales value?</t>
  </si>
  <si>
    <t>4.Find the highest Total sales for Credit Cart payment?</t>
  </si>
  <si>
    <t>Month</t>
  </si>
  <si>
    <t>November</t>
  </si>
  <si>
    <t>December</t>
  </si>
  <si>
    <t>Sum of Total sales</t>
  </si>
  <si>
    <t>Findings</t>
  </si>
  <si>
    <t>Recommentions</t>
  </si>
  <si>
    <t>1. High Quantity Products: Fries and Chicken Sandwiches appear frequently in the sales data.</t>
  </si>
  <si>
    <t>2. Low Quantity Products: Some products, such as Beverages and Sides &amp; Other, show lower quantities in the displayed records.</t>
  </si>
  <si>
    <t>3. Sales by City: Sales records include cities such as Paris, Madrid, Berlin, and Lisbon.</t>
  </si>
  <si>
    <t>4. Payment Methods: Credit Card and Gift Card are commonly used payment methods.</t>
  </si>
  <si>
    <t>5. Sales Channels: Both In-store and Online purchases are present.</t>
  </si>
  <si>
    <t>1. Keep adequate stock of high-quantity products to prevent shortages.</t>
  </si>
  <si>
    <t>2. Promote low-quantity products using discounts or combo offers.</t>
  </si>
  <si>
    <t>3. Analyze sales by city and focus promotions on locations with stronger sales.</t>
  </si>
  <si>
    <t>4. Continue supporting popular payment methods while encouraging convenient digital payments.</t>
  </si>
  <si>
    <t>5. Compare online vs. in-store sales to identify the stronger sales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</si>
</sst>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4C]#,##0.00"/>
    <numFmt numFmtId="165" formatCode="[$₹-44C]#,##0"/>
    <numFmt numFmtId="166" formatCode="[$₹-44C]#,##0.000"/>
    <numFmt numFmtId="167" formatCode="[$-14009]dd\-mm\-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8"/>
      <color theme="1"/>
      <name val="Agency FB"/>
      <family val="2"/>
    </font>
    <font>
      <b/>
      <sz val="12"/>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49998474074526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14" fontId="0" fillId="0" borderId="0" xfId="0" applyNumberFormat="1"/>
    <xf numFmtId="0" fontId="0" fillId="0" borderId="10" xfId="0" applyBorder="1"/>
    <xf numFmtId="0" fontId="0" fillId="0" borderId="11" xfId="0" applyBorder="1"/>
    <xf numFmtId="164" fontId="0" fillId="0" borderId="0" xfId="0" applyNumberFormat="1"/>
    <xf numFmtId="0" fontId="13" fillId="33" borderId="13" xfId="0" applyFont="1" applyFill="1" applyBorder="1"/>
    <xf numFmtId="0" fontId="13" fillId="33" borderId="14" xfId="0" applyFont="1" applyFill="1" applyBorder="1"/>
    <xf numFmtId="164" fontId="13" fillId="33" borderId="14" xfId="0" applyNumberFormat="1" applyFont="1" applyFill="1" applyBorder="1"/>
    <xf numFmtId="0" fontId="13" fillId="33" borderId="15" xfId="0" applyFont="1" applyFill="1" applyBorder="1"/>
    <xf numFmtId="0" fontId="0" fillId="34" borderId="13" xfId="0" applyFill="1" applyBorder="1"/>
    <xf numFmtId="0" fontId="0" fillId="34" borderId="14" xfId="0" applyFill="1" applyBorder="1"/>
    <xf numFmtId="164" fontId="0" fillId="34" borderId="14" xfId="0" applyNumberFormat="1" applyFill="1" applyBorder="1"/>
    <xf numFmtId="0" fontId="0" fillId="34" borderId="15" xfId="0" applyFill="1" applyBorder="1"/>
    <xf numFmtId="0" fontId="0" fillId="0" borderId="13" xfId="0" applyBorder="1"/>
    <xf numFmtId="0" fontId="0" fillId="0" borderId="14" xfId="0" applyBorder="1"/>
    <xf numFmtId="164" fontId="0" fillId="0" borderId="14" xfId="0" applyNumberFormat="1" applyBorder="1"/>
    <xf numFmtId="0" fontId="0" fillId="0" borderId="15" xfId="0" applyBorder="1"/>
    <xf numFmtId="164" fontId="0" fillId="0" borderId="11" xfId="0" applyNumberFormat="1" applyBorder="1"/>
    <xf numFmtId="0" fontId="0" fillId="0" borderId="12" xfId="0" applyBorder="1"/>
    <xf numFmtId="0" fontId="0" fillId="0" borderId="0" xfId="0" pivotButton="1"/>
    <xf numFmtId="0" fontId="0" fillId="0" borderId="0" xfId="0" applyAlignment="1">
      <alignment horizontal="left"/>
    </xf>
    <xf numFmtId="0" fontId="0" fillId="36" borderId="0" xfId="0" applyFill="1"/>
    <xf numFmtId="164" fontId="0" fillId="0" borderId="0" xfId="0" applyNumberFormat="1" applyAlignment="1">
      <alignment horizontal="left"/>
    </xf>
    <xf numFmtId="0" fontId="19" fillId="0" borderId="0" xfId="0" applyFont="1"/>
    <xf numFmtId="0" fontId="17" fillId="37" borderId="0" xfId="0" applyFont="1" applyFill="1"/>
    <xf numFmtId="165" fontId="0" fillId="0" borderId="0" xfId="0" applyNumberFormat="1"/>
    <xf numFmtId="166" fontId="0" fillId="0" borderId="0" xfId="0" applyNumberFormat="1"/>
    <xf numFmtId="166" fontId="0" fillId="0" borderId="0" xfId="0" applyNumberFormat="1" applyAlignment="1">
      <alignment horizontal="left"/>
    </xf>
    <xf numFmtId="0" fontId="0" fillId="0" borderId="0" xfId="0" applyAlignment="1">
      <alignment horizontal="left" indent="1"/>
    </xf>
    <xf numFmtId="0" fontId="13" fillId="33" borderId="0" xfId="0" applyFont="1" applyFill="1"/>
    <xf numFmtId="167" fontId="13" fillId="33" borderId="14" xfId="0" applyNumberFormat="1" applyFont="1" applyFill="1" applyBorder="1"/>
    <xf numFmtId="167" fontId="0" fillId="34" borderId="14" xfId="0" applyNumberFormat="1" applyFill="1" applyBorder="1"/>
    <xf numFmtId="167" fontId="0" fillId="0" borderId="14" xfId="0" applyNumberFormat="1" applyBorder="1"/>
    <xf numFmtId="167" fontId="0" fillId="0" borderId="11" xfId="0" applyNumberFormat="1" applyBorder="1"/>
    <xf numFmtId="167" fontId="0" fillId="0" borderId="0" xfId="0" applyNumberFormat="1"/>
    <xf numFmtId="0" fontId="18" fillId="35"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6" formatCode="[$₹-44C]#,##0.000"/>
    </dxf>
    <dxf>
      <numFmt numFmtId="166" formatCode="[$₹-44C]#,##0.000"/>
    </dxf>
    <dxf>
      <numFmt numFmtId="166" formatCode="[$₹-44C]#,##0.000"/>
    </dxf>
    <dxf>
      <numFmt numFmtId="165" formatCode="[$₹-44C]#,##0"/>
    </dxf>
    <dxf>
      <numFmt numFmtId="166" formatCode="[$₹-44C]#,##0.000"/>
    </dxf>
    <dxf>
      <numFmt numFmtId="166" formatCode="[$₹-44C]#,##0.000"/>
    </dxf>
    <dxf>
      <font>
        <color theme="0"/>
      </font>
      <fill>
        <patternFill>
          <fgColor theme="2" tint="-0.24994659260841701"/>
          <bgColor theme="1" tint="0.499984740745262"/>
        </patternFill>
      </fill>
    </dxf>
    <dxf>
      <font>
        <color theme="0"/>
      </font>
      <fill>
        <patternFill patternType="darkGray">
          <fgColor theme="1"/>
          <bgColor theme="4" tint="-0.499984740745262"/>
        </patternFill>
      </fill>
    </dxf>
    <dxf>
      <font>
        <name val="Calibri"/>
        <family val="2"/>
        <scheme val="minor"/>
      </font>
      <fill>
        <patternFill patternType="darkGray">
          <fgColor theme="0"/>
          <bgColor theme="1"/>
        </patternFill>
      </fill>
    </dxf>
  </dxfs>
  <tableStyles count="2" defaultTableStyle="TableStyleMedium2" defaultPivotStyle="PivotStyleLight16">
    <tableStyle name="Slicer Style 1" pivot="0" table="0" count="1" xr9:uid="{308F84FF-AECD-463A-9212-1A14016D965B}">
      <tableStyleElement type="wholeTable" dxfId="8"/>
    </tableStyle>
    <tableStyle name="Slicer Style 2" pivot="0" table="0" count="4" xr9:uid="{1BD33762-3234-4818-B207-4988FD7D779A}">
      <tableStyleElement type="wholeTable" dxfId="7"/>
      <tableStyleElement type="headerRow" dxfId="6"/>
    </tableStyle>
  </tableStyles>
  <extLst>
    <ext xmlns:x14="http://schemas.microsoft.com/office/spreadsheetml/2009/9/main" uri="{46F421CA-312F-682f-3DD2-61675219B42D}">
      <x14:dxfs count="2">
        <dxf>
          <fill>
            <patternFill>
              <fgColor theme="7" tint="0.59996337778862885"/>
              <bgColor rgb="FFFFC000"/>
            </patternFill>
          </fill>
        </dxf>
        <dxf>
          <fill>
            <patternFill>
              <fgColor theme="5" tint="0.39994506668294322"/>
              <bgColor rgb="FFC000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 new!PivotTable4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a:t>
            </a:r>
            <a:r>
              <a:rPr lang="en-US" baseline="0"/>
              <a:t> BY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new'!$B$3</c:f>
              <c:strCache>
                <c:ptCount val="1"/>
                <c:pt idx="0">
                  <c:v>Total</c:v>
                </c:pt>
              </c:strCache>
            </c:strRef>
          </c:tx>
          <c:spPr>
            <a:solidFill>
              <a:schemeClr val="accent2"/>
            </a:solidFill>
            <a:ln w="9525" cap="flat" cmpd="sng" algn="ctr">
              <a:solidFill>
                <a:schemeClr val="accent1"/>
              </a:solidFill>
              <a:miter lim="800000"/>
            </a:ln>
            <a:effectLst>
              <a:glow rad="63500">
                <a:schemeClr val="accent1">
                  <a:satMod val="175000"/>
                  <a:alpha val="25000"/>
                </a:schemeClr>
              </a:glow>
            </a:effectLst>
          </c:spPr>
          <c:invertIfNegative val="0"/>
          <c:cat>
            <c:multiLvlStrRef>
              <c:f>'Charts new'!$A$4:$A$16</c:f>
              <c:multiLvlStrCache>
                <c:ptCount val="10"/>
                <c:lvl>
                  <c:pt idx="0">
                    <c:v>Beverages</c:v>
                  </c:pt>
                  <c:pt idx="1">
                    <c:v>Burgers</c:v>
                  </c:pt>
                  <c:pt idx="2">
                    <c:v>Chicken Sandwiches</c:v>
                  </c:pt>
                  <c:pt idx="3">
                    <c:v>Fries</c:v>
                  </c:pt>
                  <c:pt idx="4">
                    <c:v>Sides &amp; Other</c:v>
                  </c:pt>
                  <c:pt idx="5">
                    <c:v>Beverages</c:v>
                  </c:pt>
                  <c:pt idx="6">
                    <c:v>Burgers</c:v>
                  </c:pt>
                  <c:pt idx="7">
                    <c:v>Chicken Sandwiches</c:v>
                  </c:pt>
                  <c:pt idx="8">
                    <c:v>Fries</c:v>
                  </c:pt>
                  <c:pt idx="9">
                    <c:v>Sides &amp; Other</c:v>
                  </c:pt>
                </c:lvl>
                <c:lvl>
                  <c:pt idx="0">
                    <c:v>November</c:v>
                  </c:pt>
                  <c:pt idx="5">
                    <c:v>December</c:v>
                  </c:pt>
                </c:lvl>
              </c:multiLvlStrCache>
            </c:multiLvlStrRef>
          </c:cat>
          <c:val>
            <c:numRef>
              <c:f>'Charts new'!$B$4:$B$16</c:f>
              <c:numCache>
                <c:formatCode>[$₹-44C]#,##0.00</c:formatCode>
                <c:ptCount val="10"/>
                <c:pt idx="0">
                  <c:v>45600.096999999994</c:v>
                </c:pt>
                <c:pt idx="1">
                  <c:v>150399.77880000006</c:v>
                </c:pt>
                <c:pt idx="2">
                  <c:v>49840.429500000013</c:v>
                </c:pt>
                <c:pt idx="3">
                  <c:v>64274.441100000011</c:v>
                </c:pt>
                <c:pt idx="4">
                  <c:v>21999.911999999989</c:v>
                </c:pt>
                <c:pt idx="5">
                  <c:v>57600.165999999997</c:v>
                </c:pt>
                <c:pt idx="6">
                  <c:v>226600.02810000008</c:v>
                </c:pt>
                <c:pt idx="7">
                  <c:v>64801.265500000009</c:v>
                </c:pt>
                <c:pt idx="8">
                  <c:v>61399.849200000026</c:v>
                </c:pt>
                <c:pt idx="9">
                  <c:v>26999.891999999985</c:v>
                </c:pt>
              </c:numCache>
            </c:numRef>
          </c:val>
          <c:extLst>
            <c:ext xmlns:c16="http://schemas.microsoft.com/office/drawing/2014/chart" uri="{C3380CC4-5D6E-409C-BE32-E72D297353CC}">
              <c16:uniqueId val="{00000000-EBEB-4177-8865-260A9E638A87}"/>
            </c:ext>
          </c:extLst>
        </c:ser>
        <c:dLbls>
          <c:showLegendKey val="0"/>
          <c:showVal val="0"/>
          <c:showCatName val="0"/>
          <c:showSerName val="0"/>
          <c:showPercent val="0"/>
          <c:showBubbleSize val="0"/>
        </c:dLbls>
        <c:gapWidth val="182"/>
        <c:overlap val="-50"/>
        <c:axId val="495331304"/>
        <c:axId val="489741640"/>
      </c:barChart>
      <c:catAx>
        <c:axId val="4953313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9741640"/>
        <c:crosses val="autoZero"/>
        <c:auto val="1"/>
        <c:lblAlgn val="ctr"/>
        <c:lblOffset val="100"/>
        <c:noMultiLvlLbl val="0"/>
      </c:catAx>
      <c:valAx>
        <c:axId val="48974164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4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5331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 new!PivotTable1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new'!$B$18</c:f>
              <c:strCache>
                <c:ptCount val="1"/>
                <c:pt idx="0">
                  <c:v>Total</c:v>
                </c:pt>
              </c:strCache>
            </c:strRef>
          </c:tx>
          <c:spPr>
            <a:solidFill>
              <a:schemeClr val="accent2"/>
            </a:solidFill>
            <a:ln w="9525" cap="flat" cmpd="sng" algn="ctr">
              <a:solidFill>
                <a:schemeClr val="accent1"/>
              </a:solidFill>
              <a:miter lim="800000"/>
            </a:ln>
            <a:effectLst>
              <a:glow rad="63500">
                <a:schemeClr val="accent1">
                  <a:satMod val="175000"/>
                  <a:alpha val="25000"/>
                </a:schemeClr>
              </a:glow>
            </a:effectLst>
          </c:spPr>
          <c:invertIfNegative val="0"/>
          <c:cat>
            <c:strRef>
              <c:f>'Charts new'!$A$19:$A$24</c:f>
              <c:strCache>
                <c:ptCount val="5"/>
                <c:pt idx="0">
                  <c:v>Berlin</c:v>
                </c:pt>
                <c:pt idx="1">
                  <c:v>Lisbon</c:v>
                </c:pt>
                <c:pt idx="2">
                  <c:v>London</c:v>
                </c:pt>
                <c:pt idx="3">
                  <c:v>Madrid</c:v>
                </c:pt>
                <c:pt idx="4">
                  <c:v>Paris</c:v>
                </c:pt>
              </c:strCache>
            </c:strRef>
          </c:cat>
          <c:val>
            <c:numRef>
              <c:f>'Charts new'!$B$19:$B$24</c:f>
              <c:numCache>
                <c:formatCode>[$₹-44C]#,##0.00</c:formatCode>
                <c:ptCount val="5"/>
                <c:pt idx="0">
                  <c:v>100600.13129999998</c:v>
                </c:pt>
                <c:pt idx="1">
                  <c:v>241714.11570000008</c:v>
                </c:pt>
                <c:pt idx="2">
                  <c:v>211201.04059999986</c:v>
                </c:pt>
                <c:pt idx="3">
                  <c:v>136200.26649999997</c:v>
                </c:pt>
                <c:pt idx="4">
                  <c:v>79800.305099999983</c:v>
                </c:pt>
              </c:numCache>
            </c:numRef>
          </c:val>
          <c:extLst>
            <c:ext xmlns:c16="http://schemas.microsoft.com/office/drawing/2014/chart" uri="{C3380CC4-5D6E-409C-BE32-E72D297353CC}">
              <c16:uniqueId val="{00000000-BC9E-4C7F-A5DD-116B25804C90}"/>
            </c:ext>
          </c:extLst>
        </c:ser>
        <c:dLbls>
          <c:showLegendKey val="0"/>
          <c:showVal val="0"/>
          <c:showCatName val="0"/>
          <c:showSerName val="0"/>
          <c:showPercent val="0"/>
          <c:showBubbleSize val="0"/>
        </c:dLbls>
        <c:gapWidth val="315"/>
        <c:overlap val="-40"/>
        <c:axId val="1169430896"/>
        <c:axId val="1028228320"/>
      </c:barChart>
      <c:catAx>
        <c:axId val="11694308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8228320"/>
        <c:crosses val="autoZero"/>
        <c:auto val="1"/>
        <c:lblAlgn val="ctr"/>
        <c:lblOffset val="100"/>
        <c:noMultiLvlLbl val="0"/>
      </c:catAx>
      <c:valAx>
        <c:axId val="1028228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4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943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Data.xlsx]Charts!PivotTable6</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Price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Charts!$A$4:$A$9</c:f>
              <c:strCache>
                <c:ptCount val="5"/>
                <c:pt idx="0">
                  <c:v>Beverages</c:v>
                </c:pt>
                <c:pt idx="1">
                  <c:v>Burgers</c:v>
                </c:pt>
                <c:pt idx="2">
                  <c:v>Chicken Sandwiches</c:v>
                </c:pt>
                <c:pt idx="3">
                  <c:v>Fries</c:v>
                </c:pt>
                <c:pt idx="4">
                  <c:v>Sides &amp; Other</c:v>
                </c:pt>
              </c:strCache>
            </c:strRef>
          </c:cat>
          <c:val>
            <c:numRef>
              <c:f>Charts!$B$4:$B$9</c:f>
              <c:numCache>
                <c:formatCode>General</c:formatCode>
                <c:ptCount val="5"/>
                <c:pt idx="0">
                  <c:v>2.95</c:v>
                </c:pt>
                <c:pt idx="1">
                  <c:v>12.990000000000007</c:v>
                </c:pt>
                <c:pt idx="2">
                  <c:v>10.317307692307686</c:v>
                </c:pt>
                <c:pt idx="3">
                  <c:v>3.9215686274509824</c:v>
                </c:pt>
                <c:pt idx="4">
                  <c:v>4.9900000000000029</c:v>
                </c:pt>
              </c:numCache>
            </c:numRef>
          </c:val>
          <c:extLst>
            <c:ext xmlns:c16="http://schemas.microsoft.com/office/drawing/2014/chart" uri="{C3380CC4-5D6E-409C-BE32-E72D297353CC}">
              <c16:uniqueId val="{00000000-8424-4A3F-86D2-797FF61BFD3D}"/>
            </c:ext>
          </c:extLst>
        </c:ser>
        <c:dLbls>
          <c:dLblPos val="outEnd"/>
          <c:showLegendKey val="0"/>
          <c:showVal val="1"/>
          <c:showCatName val="0"/>
          <c:showSerName val="0"/>
          <c:showPercent val="0"/>
          <c:showBubbleSize val="0"/>
        </c:dLbls>
        <c:gapWidth val="315"/>
        <c:overlap val="-40"/>
        <c:axId val="493107936"/>
        <c:axId val="493105056"/>
      </c:barChart>
      <c:catAx>
        <c:axId val="493107936"/>
        <c:scaling>
          <c:orientation val="minMax"/>
        </c:scaling>
        <c:delete val="1"/>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493105056"/>
        <c:crosses val="autoZero"/>
        <c:auto val="1"/>
        <c:lblAlgn val="ctr"/>
        <c:lblOffset val="100"/>
        <c:noMultiLvlLbl val="0"/>
      </c:catAx>
      <c:valAx>
        <c:axId val="493105056"/>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49310793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Type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Charts!$I$5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A2-4E55-95CC-3C77624C96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A2-4E55-95CC-3C77624C96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A2-4E55-95CC-3C77624C96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Charts!$H$6:$H$9</c:f>
              <c:strCache>
                <c:ptCount val="3"/>
                <c:pt idx="0">
                  <c:v>Drive-thru </c:v>
                </c:pt>
                <c:pt idx="1">
                  <c:v>In-store </c:v>
                </c:pt>
                <c:pt idx="2">
                  <c:v>Online </c:v>
                </c:pt>
              </c:strCache>
            </c:strRef>
          </c:cat>
          <c:val>
            <c:numRef>
              <c:f>Charts!$I$6:$I$9</c:f>
              <c:numCache>
                <c:formatCode>General</c:formatCode>
                <c:ptCount val="3"/>
                <c:pt idx="0">
                  <c:v>61</c:v>
                </c:pt>
                <c:pt idx="1">
                  <c:v>86</c:v>
                </c:pt>
                <c:pt idx="2">
                  <c:v>107</c:v>
                </c:pt>
              </c:numCache>
            </c:numRef>
          </c:val>
          <c:extLst>
            <c:ext xmlns:c16="http://schemas.microsoft.com/office/drawing/2014/chart" uri="{C3380CC4-5D6E-409C-BE32-E72D297353CC}">
              <c16:uniqueId val="{00000006-BCA2-4E55-95CC-3C77624C96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Data.xlsx]Charts!PivotTable11</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a:t>
            </a:r>
            <a:r>
              <a:rPr lang="en-US" baseline="0"/>
              <a:t> Payment method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6369203849519"/>
          <c:y val="0.25865522018081066"/>
          <c:w val="0.43073337707786524"/>
          <c:h val="0.6293157626130067"/>
        </c:manualLayout>
      </c:layout>
      <c:barChart>
        <c:barDir val="bar"/>
        <c:grouping val="clustered"/>
        <c:varyColors val="0"/>
        <c:ser>
          <c:idx val="0"/>
          <c:order val="0"/>
          <c:tx>
            <c:strRef>
              <c:f>Charts!$I$14</c:f>
              <c:strCache>
                <c:ptCount val="1"/>
                <c:pt idx="0">
                  <c:v>Total</c:v>
                </c:pt>
              </c:strCache>
            </c:strRef>
          </c:tx>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Charts!$H$15:$H$20</c:f>
              <c:strCache>
                <c:ptCount val="5"/>
                <c:pt idx="0">
                  <c:v>Beverages</c:v>
                </c:pt>
                <c:pt idx="1">
                  <c:v>Burgers</c:v>
                </c:pt>
                <c:pt idx="2">
                  <c:v>Chicken Sandwiches</c:v>
                </c:pt>
                <c:pt idx="3">
                  <c:v>Fries</c:v>
                </c:pt>
                <c:pt idx="4">
                  <c:v>Sides &amp; Other</c:v>
                </c:pt>
              </c:strCache>
            </c:strRef>
          </c:cat>
          <c:val>
            <c:numRef>
              <c:f>Charts!$I$15:$I$20</c:f>
              <c:numCache>
                <c:formatCode>General</c:formatCode>
                <c:ptCount val="5"/>
                <c:pt idx="0">
                  <c:v>2199.9920000000002</c:v>
                </c:pt>
                <c:pt idx="1">
                  <c:v>9800.0456999999988</c:v>
                </c:pt>
                <c:pt idx="2">
                  <c:v>5839.3405000000002</c:v>
                </c:pt>
                <c:pt idx="3">
                  <c:v>16074.434999999999</c:v>
                </c:pt>
                <c:pt idx="4">
                  <c:v>999.99600000000009</c:v>
                </c:pt>
              </c:numCache>
            </c:numRef>
          </c:val>
          <c:extLst>
            <c:ext xmlns:c16="http://schemas.microsoft.com/office/drawing/2014/chart" uri="{C3380CC4-5D6E-409C-BE32-E72D297353CC}">
              <c16:uniqueId val="{00000003-F1CD-49B2-A412-E13F840CE2C3}"/>
            </c:ext>
          </c:extLst>
        </c:ser>
        <c:dLbls>
          <c:dLblPos val="outEnd"/>
          <c:showLegendKey val="0"/>
          <c:showVal val="1"/>
          <c:showCatName val="0"/>
          <c:showSerName val="0"/>
          <c:showPercent val="0"/>
          <c:showBubbleSize val="0"/>
        </c:dLbls>
        <c:gapWidth val="182"/>
        <c:overlap val="-50"/>
        <c:axId val="1008286832"/>
        <c:axId val="1008285392"/>
      </c:barChart>
      <c:catAx>
        <c:axId val="10082868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8285392"/>
        <c:crosses val="autoZero"/>
        <c:auto val="1"/>
        <c:lblAlgn val="ctr"/>
        <c:lblOffset val="100"/>
        <c:noMultiLvlLbl val="0"/>
      </c:catAx>
      <c:valAx>
        <c:axId val="10082853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828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High Quantity prodect</a:t>
            </a:r>
            <a:r>
              <a:rPr lang="en-US"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Charts!$F$27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Charts!$E$28:$E$33</c:f>
              <c:strCache>
                <c:ptCount val="5"/>
                <c:pt idx="0">
                  <c:v>Beverages</c:v>
                </c:pt>
                <c:pt idx="1">
                  <c:v>Burgers</c:v>
                </c:pt>
                <c:pt idx="2">
                  <c:v>Chicken Sandwiches</c:v>
                </c:pt>
                <c:pt idx="3">
                  <c:v>Fries</c:v>
                </c:pt>
                <c:pt idx="4">
                  <c:v>Sides &amp; Other</c:v>
                </c:pt>
              </c:strCache>
            </c:strRef>
          </c:cat>
          <c:val>
            <c:numRef>
              <c:f>Charts!$F$28:$F$33</c:f>
              <c:numCache>
                <c:formatCode>[$₹-44C]#,##0.000</c:formatCode>
                <c:ptCount val="5"/>
                <c:pt idx="0">
                  <c:v>34983.140000000007</c:v>
                </c:pt>
                <c:pt idx="1">
                  <c:v>29022.309999999994</c:v>
                </c:pt>
                <c:pt idx="2">
                  <c:v>11135.920000000002</c:v>
                </c:pt>
                <c:pt idx="3">
                  <c:v>32034.339999999986</c:v>
                </c:pt>
                <c:pt idx="4">
                  <c:v>9819.5999999999913</c:v>
                </c:pt>
              </c:numCache>
            </c:numRef>
          </c:val>
          <c:smooth val="0"/>
          <c:extLst>
            <c:ext xmlns:c16="http://schemas.microsoft.com/office/drawing/2014/chart" uri="{C3380CC4-5D6E-409C-BE32-E72D297353CC}">
              <c16:uniqueId val="{00000000-5C05-4A7F-BC8D-473E813A31D0}"/>
            </c:ext>
          </c:extLst>
        </c:ser>
        <c:dLbls>
          <c:dLblPos val="t"/>
          <c:showLegendKey val="0"/>
          <c:showVal val="1"/>
          <c:showCatName val="0"/>
          <c:showSerName val="0"/>
          <c:showPercent val="0"/>
          <c:showBubbleSize val="0"/>
        </c:dLbls>
        <c:marker val="1"/>
        <c:smooth val="0"/>
        <c:axId val="729625168"/>
        <c:axId val="729638128"/>
      </c:lineChart>
      <c:catAx>
        <c:axId val="7296251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638128"/>
        <c:crosses val="autoZero"/>
        <c:auto val="1"/>
        <c:lblAlgn val="ctr"/>
        <c:lblOffset val="100"/>
        <c:noMultiLvlLbl val="0"/>
      </c:catAx>
      <c:valAx>
        <c:axId val="729638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4C]#,##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62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 new!PivotTable4</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a:t>
            </a:r>
            <a:r>
              <a:rPr lang="en-US" baseline="0"/>
              <a:t> BY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new'!$B$3</c:f>
              <c:strCache>
                <c:ptCount val="1"/>
                <c:pt idx="0">
                  <c:v>Total</c:v>
                </c:pt>
              </c:strCache>
            </c:strRef>
          </c:tx>
          <c:spPr>
            <a:solidFill>
              <a:schemeClr val="accent2"/>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'Charts new'!$A$4:$A$16</c:f>
              <c:multiLvlStrCache>
                <c:ptCount val="10"/>
                <c:lvl>
                  <c:pt idx="0">
                    <c:v>Beverages</c:v>
                  </c:pt>
                  <c:pt idx="1">
                    <c:v>Burgers</c:v>
                  </c:pt>
                  <c:pt idx="2">
                    <c:v>Chicken Sandwiches</c:v>
                  </c:pt>
                  <c:pt idx="3">
                    <c:v>Fries</c:v>
                  </c:pt>
                  <c:pt idx="4">
                    <c:v>Sides &amp; Other</c:v>
                  </c:pt>
                  <c:pt idx="5">
                    <c:v>Beverages</c:v>
                  </c:pt>
                  <c:pt idx="6">
                    <c:v>Burgers</c:v>
                  </c:pt>
                  <c:pt idx="7">
                    <c:v>Chicken Sandwiches</c:v>
                  </c:pt>
                  <c:pt idx="8">
                    <c:v>Fries</c:v>
                  </c:pt>
                  <c:pt idx="9">
                    <c:v>Sides &amp; Other</c:v>
                  </c:pt>
                </c:lvl>
                <c:lvl>
                  <c:pt idx="0">
                    <c:v>November</c:v>
                  </c:pt>
                  <c:pt idx="5">
                    <c:v>December</c:v>
                  </c:pt>
                </c:lvl>
              </c:multiLvlStrCache>
            </c:multiLvlStrRef>
          </c:cat>
          <c:val>
            <c:numRef>
              <c:f>'Charts new'!$B$4:$B$16</c:f>
              <c:numCache>
                <c:formatCode>[$₹-44C]#,##0.00</c:formatCode>
                <c:ptCount val="10"/>
                <c:pt idx="0">
                  <c:v>45600.096999999994</c:v>
                </c:pt>
                <c:pt idx="1">
                  <c:v>150399.77880000006</c:v>
                </c:pt>
                <c:pt idx="2">
                  <c:v>49840.429500000013</c:v>
                </c:pt>
                <c:pt idx="3">
                  <c:v>64274.441100000011</c:v>
                </c:pt>
                <c:pt idx="4">
                  <c:v>21999.911999999989</c:v>
                </c:pt>
                <c:pt idx="5">
                  <c:v>57600.165999999997</c:v>
                </c:pt>
                <c:pt idx="6">
                  <c:v>226600.02810000008</c:v>
                </c:pt>
                <c:pt idx="7">
                  <c:v>64801.265500000009</c:v>
                </c:pt>
                <c:pt idx="8">
                  <c:v>61399.849200000026</c:v>
                </c:pt>
                <c:pt idx="9">
                  <c:v>26999.891999999985</c:v>
                </c:pt>
              </c:numCache>
            </c:numRef>
          </c:val>
          <c:extLst>
            <c:ext xmlns:c16="http://schemas.microsoft.com/office/drawing/2014/chart" uri="{C3380CC4-5D6E-409C-BE32-E72D297353CC}">
              <c16:uniqueId val="{00000000-BDB9-4182-A8CF-5F1A35F52D77}"/>
            </c:ext>
          </c:extLst>
        </c:ser>
        <c:dLbls>
          <c:dLblPos val="outEnd"/>
          <c:showLegendKey val="0"/>
          <c:showVal val="1"/>
          <c:showCatName val="0"/>
          <c:showSerName val="0"/>
          <c:showPercent val="0"/>
          <c:showBubbleSize val="0"/>
        </c:dLbls>
        <c:gapWidth val="182"/>
        <c:overlap val="-50"/>
        <c:axId val="495331304"/>
        <c:axId val="489741640"/>
      </c:barChart>
      <c:catAx>
        <c:axId val="4953313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9741640"/>
        <c:crosses val="autoZero"/>
        <c:auto val="1"/>
        <c:lblAlgn val="ctr"/>
        <c:lblOffset val="100"/>
        <c:noMultiLvlLbl val="0"/>
      </c:catAx>
      <c:valAx>
        <c:axId val="48974164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4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5331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 new!PivotTable1</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new'!$B$18</c:f>
              <c:strCache>
                <c:ptCount val="1"/>
                <c:pt idx="0">
                  <c:v>Total</c:v>
                </c:pt>
              </c:strCache>
            </c:strRef>
          </c:tx>
          <c:spPr>
            <a:solidFill>
              <a:schemeClr val="accent2"/>
            </a:solidFill>
            <a:ln w="9525" cap="flat" cmpd="sng" algn="ctr">
              <a:solidFill>
                <a:schemeClr val="accent1"/>
              </a:solidFill>
              <a:miter lim="800000"/>
            </a:ln>
            <a:effectLst>
              <a:glow rad="63500">
                <a:schemeClr val="accent1">
                  <a:satMod val="175000"/>
                  <a:alpha val="25000"/>
                </a:schemeClr>
              </a:glow>
            </a:effectLst>
          </c:spPr>
          <c:invertIfNegative val="0"/>
          <c:cat>
            <c:strRef>
              <c:f>'Charts new'!$A$19:$A$24</c:f>
              <c:strCache>
                <c:ptCount val="5"/>
                <c:pt idx="0">
                  <c:v>Berlin</c:v>
                </c:pt>
                <c:pt idx="1">
                  <c:v>Lisbon</c:v>
                </c:pt>
                <c:pt idx="2">
                  <c:v>London</c:v>
                </c:pt>
                <c:pt idx="3">
                  <c:v>Madrid</c:v>
                </c:pt>
                <c:pt idx="4">
                  <c:v>Paris</c:v>
                </c:pt>
              </c:strCache>
            </c:strRef>
          </c:cat>
          <c:val>
            <c:numRef>
              <c:f>'Charts new'!$B$19:$B$24</c:f>
              <c:numCache>
                <c:formatCode>[$₹-44C]#,##0.00</c:formatCode>
                <c:ptCount val="5"/>
                <c:pt idx="0">
                  <c:v>100600.13129999998</c:v>
                </c:pt>
                <c:pt idx="1">
                  <c:v>241714.11570000008</c:v>
                </c:pt>
                <c:pt idx="2">
                  <c:v>211201.04059999986</c:v>
                </c:pt>
                <c:pt idx="3">
                  <c:v>136200.26649999997</c:v>
                </c:pt>
                <c:pt idx="4">
                  <c:v>79800.305099999983</c:v>
                </c:pt>
              </c:numCache>
            </c:numRef>
          </c:val>
          <c:extLst>
            <c:ext xmlns:c16="http://schemas.microsoft.com/office/drawing/2014/chart" uri="{C3380CC4-5D6E-409C-BE32-E72D297353CC}">
              <c16:uniqueId val="{00000000-9A3A-42B3-AE55-A0E142FE7ACC}"/>
            </c:ext>
          </c:extLst>
        </c:ser>
        <c:dLbls>
          <c:showLegendKey val="0"/>
          <c:showVal val="0"/>
          <c:showCatName val="0"/>
          <c:showSerName val="0"/>
          <c:showPercent val="0"/>
          <c:showBubbleSize val="0"/>
        </c:dLbls>
        <c:gapWidth val="315"/>
        <c:overlap val="-40"/>
        <c:axId val="1169430896"/>
        <c:axId val="1028228320"/>
      </c:barChart>
      <c:catAx>
        <c:axId val="11694308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8228320"/>
        <c:crosses val="autoZero"/>
        <c:auto val="1"/>
        <c:lblAlgn val="ctr"/>
        <c:lblOffset val="100"/>
        <c:noMultiLvlLbl val="0"/>
      </c:catAx>
      <c:valAx>
        <c:axId val="1028228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4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943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price 0f product</a:t>
            </a:r>
            <a:endParaRPr lang="en-US"/>
          </a:p>
        </c:rich>
      </c:tx>
      <c:layout>
        <c:manualLayout>
          <c:xMode val="edge"/>
          <c:yMode val="edge"/>
          <c:x val="0.2326923076923077"/>
          <c:y val="0.21211506977469399"/>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invertIfNegative val="0"/>
          <c:cat>
            <c:strRef>
              <c:f>Charts!$A$4:$A$9</c:f>
              <c:strCache>
                <c:ptCount val="5"/>
                <c:pt idx="0">
                  <c:v>Beverages</c:v>
                </c:pt>
                <c:pt idx="1">
                  <c:v>Burgers</c:v>
                </c:pt>
                <c:pt idx="2">
                  <c:v>Chicken Sandwiches</c:v>
                </c:pt>
                <c:pt idx="3">
                  <c:v>Fries</c:v>
                </c:pt>
                <c:pt idx="4">
                  <c:v>Sides &amp; Other</c:v>
                </c:pt>
              </c:strCache>
            </c:strRef>
          </c:cat>
          <c:val>
            <c:numRef>
              <c:f>Charts!$B$4:$B$9</c:f>
              <c:numCache>
                <c:formatCode>General</c:formatCode>
                <c:ptCount val="5"/>
                <c:pt idx="0">
                  <c:v>2.95</c:v>
                </c:pt>
                <c:pt idx="1">
                  <c:v>12.990000000000007</c:v>
                </c:pt>
                <c:pt idx="2">
                  <c:v>10.317307692307686</c:v>
                </c:pt>
                <c:pt idx="3">
                  <c:v>3.9215686274509824</c:v>
                </c:pt>
                <c:pt idx="4">
                  <c:v>4.9900000000000029</c:v>
                </c:pt>
              </c:numCache>
            </c:numRef>
          </c:val>
          <c:extLst>
            <c:ext xmlns:c16="http://schemas.microsoft.com/office/drawing/2014/chart" uri="{C3380CC4-5D6E-409C-BE32-E72D297353CC}">
              <c16:uniqueId val="{00000000-192A-4A14-A1C4-F1A3ADD4BA30}"/>
            </c:ext>
          </c:extLst>
        </c:ser>
        <c:dLbls>
          <c:showLegendKey val="0"/>
          <c:showVal val="0"/>
          <c:showCatName val="0"/>
          <c:showSerName val="0"/>
          <c:showPercent val="0"/>
          <c:showBubbleSize val="0"/>
        </c:dLbls>
        <c:gapWidth val="315"/>
        <c:overlap val="-40"/>
        <c:axId val="493107936"/>
        <c:axId val="493105056"/>
      </c:barChart>
      <c:catAx>
        <c:axId val="4931079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3105056"/>
        <c:crosses val="autoZero"/>
        <c:auto val="1"/>
        <c:lblAlgn val="ctr"/>
        <c:lblOffset val="100"/>
        <c:noMultiLvlLbl val="0"/>
      </c:catAx>
      <c:valAx>
        <c:axId val="4931050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310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Highest Gross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Charts!$B$12</c:f>
              <c:strCache>
                <c:ptCount val="1"/>
                <c:pt idx="0">
                  <c:v>Total</c:v>
                </c:pt>
              </c:strCache>
            </c:strRef>
          </c:tx>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invertIfNegative val="0"/>
          <c:cat>
            <c:strRef>
              <c:f>Charts!$A$13:$A$21</c:f>
              <c:strCache>
                <c:ptCount val="8"/>
                <c:pt idx="0">
                  <c:v>₹1,000.00</c:v>
                </c:pt>
                <c:pt idx="1">
                  <c:v>₹2,000.01</c:v>
                </c:pt>
                <c:pt idx="2">
                  <c:v>₹2,000.01</c:v>
                </c:pt>
                <c:pt idx="3">
                  <c:v>₹2,000.05</c:v>
                </c:pt>
                <c:pt idx="4">
                  <c:v>₹2,199.99</c:v>
                </c:pt>
                <c:pt idx="5">
                  <c:v>₹2,199.99</c:v>
                </c:pt>
                <c:pt idx="6">
                  <c:v>₹2,200.04</c:v>
                </c:pt>
                <c:pt idx="7">
                  <c:v>₹2,400.00</c:v>
                </c:pt>
              </c:strCache>
            </c:strRef>
          </c:cat>
          <c:val>
            <c:numRef>
              <c:f>Charts!$B$13:$B$21</c:f>
              <c:numCache>
                <c:formatCode>General</c:formatCode>
                <c:ptCount val="8"/>
                <c:pt idx="0">
                  <c:v>4.99</c:v>
                </c:pt>
                <c:pt idx="1">
                  <c:v>2.95</c:v>
                </c:pt>
                <c:pt idx="2">
                  <c:v>3.49</c:v>
                </c:pt>
                <c:pt idx="3">
                  <c:v>9.9499999999999993</c:v>
                </c:pt>
                <c:pt idx="4">
                  <c:v>3.49</c:v>
                </c:pt>
                <c:pt idx="5">
                  <c:v>2.95</c:v>
                </c:pt>
                <c:pt idx="6">
                  <c:v>9.9499999999999993</c:v>
                </c:pt>
                <c:pt idx="7">
                  <c:v>3.49</c:v>
                </c:pt>
              </c:numCache>
            </c:numRef>
          </c:val>
          <c:extLst>
            <c:ext xmlns:c16="http://schemas.microsoft.com/office/drawing/2014/chart" uri="{C3380CC4-5D6E-409C-BE32-E72D297353CC}">
              <c16:uniqueId val="{00000000-F427-4952-B2D5-57166EDD006A}"/>
            </c:ext>
          </c:extLst>
        </c:ser>
        <c:dLbls>
          <c:showLegendKey val="0"/>
          <c:showVal val="0"/>
          <c:showCatName val="0"/>
          <c:showSerName val="0"/>
          <c:showPercent val="0"/>
          <c:showBubbleSize val="0"/>
        </c:dLbls>
        <c:gapWidth val="182"/>
        <c:overlap val="-50"/>
        <c:axId val="1171589616"/>
        <c:axId val="1171588656"/>
      </c:barChart>
      <c:catAx>
        <c:axId val="11715896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1588656"/>
        <c:crosses val="autoZero"/>
        <c:auto val="1"/>
        <c:lblAlgn val="ctr"/>
        <c:lblOffset val="100"/>
        <c:noMultiLvlLbl val="0"/>
      </c:catAx>
      <c:valAx>
        <c:axId val="117158865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158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type</a:t>
            </a:r>
            <a:r>
              <a:rPr lang="en-US" baseline="0"/>
              <a:t> Count</a:t>
            </a:r>
            <a:endParaRPr lang="en-US"/>
          </a:p>
        </c:rich>
      </c:tx>
      <c:layout>
        <c:manualLayout>
          <c:xMode val="edge"/>
          <c:yMode val="edge"/>
          <c:x val="0.32258445996137275"/>
          <c:y val="0.3154295539360309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Charts!$I$5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0C4-45CD-BB4D-FB3C665B81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0C4-45CD-BB4D-FB3C665B818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0C4-45CD-BB4D-FB3C665B818C}"/>
              </c:ext>
            </c:extLst>
          </c:dPt>
          <c:cat>
            <c:strRef>
              <c:f>Charts!$H$6:$H$9</c:f>
              <c:strCache>
                <c:ptCount val="3"/>
                <c:pt idx="0">
                  <c:v>Drive-thru </c:v>
                </c:pt>
                <c:pt idx="1">
                  <c:v>In-store </c:v>
                </c:pt>
                <c:pt idx="2">
                  <c:v>Online </c:v>
                </c:pt>
              </c:strCache>
            </c:strRef>
          </c:cat>
          <c:val>
            <c:numRef>
              <c:f>Charts!$I$6:$I$9</c:f>
              <c:numCache>
                <c:formatCode>General</c:formatCode>
                <c:ptCount val="3"/>
                <c:pt idx="0">
                  <c:v>61</c:v>
                </c:pt>
                <c:pt idx="1">
                  <c:v>86</c:v>
                </c:pt>
                <c:pt idx="2">
                  <c:v>107</c:v>
                </c:pt>
              </c:numCache>
            </c:numRef>
          </c:val>
          <c:extLst>
            <c:ext xmlns:c16="http://schemas.microsoft.com/office/drawing/2014/chart" uri="{C3380CC4-5D6E-409C-BE32-E72D297353CC}">
              <c16:uniqueId val="{00000000-8529-41BC-82A1-9DD45279A9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Data.xlsx]Charts!PivotTable11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Gross sales of Credit</a:t>
            </a:r>
            <a:r>
              <a:rPr lang="en-US" baseline="0"/>
              <a:t> card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6369203849519"/>
          <c:y val="0.25865522018081066"/>
          <c:w val="0.43073337707786524"/>
          <c:h val="0.6293157626130067"/>
        </c:manualLayout>
      </c:layout>
      <c:barChart>
        <c:barDir val="bar"/>
        <c:grouping val="clustered"/>
        <c:varyColors val="0"/>
        <c:ser>
          <c:idx val="0"/>
          <c:order val="0"/>
          <c:tx>
            <c:strRef>
              <c:f>Charts!$I$14</c:f>
              <c:strCache>
                <c:ptCount val="1"/>
                <c:pt idx="0">
                  <c:v>Total</c:v>
                </c:pt>
              </c:strCache>
            </c:strRef>
          </c:tx>
          <c:spPr>
            <a:solidFill>
              <a:schemeClr val="accent2">
                <a:lumMod val="50000"/>
              </a:schemeClr>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Charts!$H$15:$H$20</c:f>
              <c:strCache>
                <c:ptCount val="5"/>
                <c:pt idx="0">
                  <c:v>Beverages</c:v>
                </c:pt>
                <c:pt idx="1">
                  <c:v>Burgers</c:v>
                </c:pt>
                <c:pt idx="2">
                  <c:v>Chicken Sandwiches</c:v>
                </c:pt>
                <c:pt idx="3">
                  <c:v>Fries</c:v>
                </c:pt>
                <c:pt idx="4">
                  <c:v>Sides &amp; Other</c:v>
                </c:pt>
              </c:strCache>
            </c:strRef>
          </c:cat>
          <c:val>
            <c:numRef>
              <c:f>Charts!$I$15:$I$20</c:f>
              <c:numCache>
                <c:formatCode>General</c:formatCode>
                <c:ptCount val="5"/>
                <c:pt idx="0">
                  <c:v>2199.9920000000002</c:v>
                </c:pt>
                <c:pt idx="1">
                  <c:v>9800.0456999999988</c:v>
                </c:pt>
                <c:pt idx="2">
                  <c:v>5839.3405000000002</c:v>
                </c:pt>
                <c:pt idx="3">
                  <c:v>16074.434999999999</c:v>
                </c:pt>
                <c:pt idx="4">
                  <c:v>999.99600000000009</c:v>
                </c:pt>
              </c:numCache>
            </c:numRef>
          </c:val>
          <c:extLst>
            <c:ext xmlns:c16="http://schemas.microsoft.com/office/drawing/2014/chart" uri="{C3380CC4-5D6E-409C-BE32-E72D297353CC}">
              <c16:uniqueId val="{00000000-7A09-4F3F-9FAE-0A38AC3D04CB}"/>
            </c:ext>
          </c:extLst>
        </c:ser>
        <c:dLbls>
          <c:dLblPos val="outEnd"/>
          <c:showLegendKey val="0"/>
          <c:showVal val="1"/>
          <c:showCatName val="0"/>
          <c:showSerName val="0"/>
          <c:showPercent val="0"/>
          <c:showBubbleSize val="0"/>
        </c:dLbls>
        <c:gapWidth val="182"/>
        <c:overlap val="-50"/>
        <c:axId val="1008286832"/>
        <c:axId val="1008285392"/>
      </c:barChart>
      <c:catAx>
        <c:axId val="10082868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8285392"/>
        <c:crosses val="autoZero"/>
        <c:auto val="1"/>
        <c:lblAlgn val="ctr"/>
        <c:lblOffset val="100"/>
        <c:noMultiLvlLbl val="0"/>
      </c:catAx>
      <c:valAx>
        <c:axId val="10082853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828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Data.xlsx]Charts!PivotTable1</c:name>
    <c:fmtId val="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Charts!$F$27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Charts!$E$28:$E$33</c:f>
              <c:strCache>
                <c:ptCount val="5"/>
                <c:pt idx="0">
                  <c:v>Beverages</c:v>
                </c:pt>
                <c:pt idx="1">
                  <c:v>Burgers</c:v>
                </c:pt>
                <c:pt idx="2">
                  <c:v>Chicken Sandwiches</c:v>
                </c:pt>
                <c:pt idx="3">
                  <c:v>Fries</c:v>
                </c:pt>
                <c:pt idx="4">
                  <c:v>Sides &amp; Other</c:v>
                </c:pt>
              </c:strCache>
            </c:strRef>
          </c:cat>
          <c:val>
            <c:numRef>
              <c:f>Charts!$F$28:$F$33</c:f>
              <c:numCache>
                <c:formatCode>[$₹-44C]#,##0.000</c:formatCode>
                <c:ptCount val="5"/>
                <c:pt idx="0">
                  <c:v>34983.140000000007</c:v>
                </c:pt>
                <c:pt idx="1">
                  <c:v>29022.309999999994</c:v>
                </c:pt>
                <c:pt idx="2">
                  <c:v>11135.920000000002</c:v>
                </c:pt>
                <c:pt idx="3">
                  <c:v>32034.339999999986</c:v>
                </c:pt>
                <c:pt idx="4">
                  <c:v>9819.5999999999913</c:v>
                </c:pt>
              </c:numCache>
            </c:numRef>
          </c:val>
          <c:smooth val="0"/>
          <c:extLst>
            <c:ext xmlns:c16="http://schemas.microsoft.com/office/drawing/2014/chart" uri="{C3380CC4-5D6E-409C-BE32-E72D297353CC}">
              <c16:uniqueId val="{00000000-906D-40D4-A210-4F471D992892}"/>
            </c:ext>
          </c:extLst>
        </c:ser>
        <c:dLbls>
          <c:dLblPos val="t"/>
          <c:showLegendKey val="0"/>
          <c:showVal val="1"/>
          <c:showCatName val="0"/>
          <c:showSerName val="0"/>
          <c:showPercent val="0"/>
          <c:showBubbleSize val="0"/>
        </c:dLbls>
        <c:marker val="1"/>
        <c:smooth val="0"/>
        <c:axId val="729625168"/>
        <c:axId val="729638128"/>
      </c:lineChart>
      <c:catAx>
        <c:axId val="7296251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638128"/>
        <c:crosses val="autoZero"/>
        <c:auto val="1"/>
        <c:lblAlgn val="ctr"/>
        <c:lblOffset val="100"/>
        <c:noMultiLvlLbl val="0"/>
      </c:catAx>
      <c:valAx>
        <c:axId val="729638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4C]#,##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962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5.xml"/><Relationship Id="rId7" Type="http://schemas.openxmlformats.org/officeDocument/2006/relationships/image" Target="../media/image3.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png"/><Relationship Id="rId11" Type="http://schemas.openxmlformats.org/officeDocument/2006/relationships/chart" Target="../charts/chart8.xml"/><Relationship Id="rId5" Type="http://schemas.openxmlformats.org/officeDocument/2006/relationships/image" Target="../media/image1.emf"/><Relationship Id="rId10"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5.svg"/></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1.emf"/><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7.emf"/><Relationship Id="rId5" Type="http://schemas.openxmlformats.org/officeDocument/2006/relationships/chart" Target="../charts/chart13.xml"/><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xdr:col>
      <xdr:colOff>203200</xdr:colOff>
      <xdr:row>2</xdr:row>
      <xdr:rowOff>25401</xdr:rowOff>
    </xdr:from>
    <xdr:to>
      <xdr:col>8</xdr:col>
      <xdr:colOff>215900</xdr:colOff>
      <xdr:row>15</xdr:row>
      <xdr:rowOff>177801</xdr:rowOff>
    </xdr:to>
    <xdr:graphicFrame macro="">
      <xdr:nvGraphicFramePr>
        <xdr:cNvPr id="2" name="Chart 1">
          <a:extLst>
            <a:ext uri="{FF2B5EF4-FFF2-40B4-BE49-F238E27FC236}">
              <a16:creationId xmlns:a16="http://schemas.microsoft.com/office/drawing/2014/main" id="{E1F74DB7-93B1-DEAC-2964-6C96666D1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581025</xdr:colOff>
      <xdr:row>1</xdr:row>
      <xdr:rowOff>152401</xdr:rowOff>
    </xdr:from>
    <xdr:to>
      <xdr:col>11</xdr:col>
      <xdr:colOff>581025</xdr:colOff>
      <xdr:row>10</xdr:row>
      <xdr:rowOff>133351</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483498CE-E5FA-668F-5750-F01EF081A1E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72275" y="342901"/>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333375</xdr:colOff>
      <xdr:row>16</xdr:row>
      <xdr:rowOff>47625</xdr:rowOff>
    </xdr:from>
    <xdr:to>
      <xdr:col>6</xdr:col>
      <xdr:colOff>314326</xdr:colOff>
      <xdr:row>24</xdr:row>
      <xdr:rowOff>85725</xdr:rowOff>
    </xdr:to>
    <xdr:graphicFrame macro="">
      <xdr:nvGraphicFramePr>
        <xdr:cNvPr id="4" name="Chart 3">
          <a:extLst>
            <a:ext uri="{FF2B5EF4-FFF2-40B4-BE49-F238E27FC236}">
              <a16:creationId xmlns:a16="http://schemas.microsoft.com/office/drawing/2014/main" id="{2F2D3873-EC81-190A-0594-996C1094F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269766</xdr:colOff>
      <xdr:row>14</xdr:row>
      <xdr:rowOff>130502</xdr:rowOff>
    </xdr:from>
    <xdr:to>
      <xdr:col>6</xdr:col>
      <xdr:colOff>234094</xdr:colOff>
      <xdr:row>27</xdr:row>
      <xdr:rowOff>35233</xdr:rowOff>
    </xdr:to>
    <xdr:graphicFrame macro="">
      <xdr:nvGraphicFramePr>
        <xdr:cNvPr id="2" name="Chart 1">
          <a:extLst>
            <a:ext uri="{FF2B5EF4-FFF2-40B4-BE49-F238E27FC236}">
              <a16:creationId xmlns:a16="http://schemas.microsoft.com/office/drawing/2014/main" id="{0BE308CE-2ACB-453E-A64C-6EBF02149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309039</xdr:colOff>
      <xdr:row>30</xdr:row>
      <xdr:rowOff>19903</xdr:rowOff>
    </xdr:from>
    <xdr:to>
      <xdr:col>6</xdr:col>
      <xdr:colOff>273707</xdr:colOff>
      <xdr:row>42</xdr:row>
      <xdr:rowOff>142328</xdr:rowOff>
    </xdr:to>
    <xdr:graphicFrame macro="">
      <xdr:nvGraphicFramePr>
        <xdr:cNvPr id="4" name="Chart 3">
          <a:extLst>
            <a:ext uri="{FF2B5EF4-FFF2-40B4-BE49-F238E27FC236}">
              <a16:creationId xmlns:a16="http://schemas.microsoft.com/office/drawing/2014/main" id="{E4D4500F-5BCD-466C-8BDE-4E4EDE079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164540</xdr:colOff>
      <xdr:row>16</xdr:row>
      <xdr:rowOff>73726</xdr:rowOff>
    </xdr:from>
    <xdr:to>
      <xdr:col>16</xdr:col>
      <xdr:colOff>426428</xdr:colOff>
      <xdr:row>23</xdr:row>
      <xdr:rowOff>61087</xdr:rowOff>
    </xdr:to>
    <mc:AlternateContent xmlns:mc="http://schemas.openxmlformats.org/markup-compatibility/2006">
      <mc:Choice xmlns:a14="http://schemas.microsoft.com/office/drawing/2010/main" Requires="a14">
        <xdr:graphicFrame macro="">
          <xdr:nvGraphicFramePr>
            <xdr:cNvPr id="7" name="Purchase Type">
              <a:extLst>
                <a:ext uri="{FF2B5EF4-FFF2-40B4-BE49-F238E27FC236}">
                  <a16:creationId xmlns:a16="http://schemas.microsoft.com/office/drawing/2014/main" id="{E3B585CF-40BE-B556-9C09-FF753C047574}"/>
                </a:ext>
              </a:extLst>
            </xdr:cNvPr>
            <xdr:cNvGraphicFramePr/>
          </xdr:nvGraphicFramePr>
          <xdr:xfrm>
            <a:off x="0" y="0"/>
            <a:ext cx="0" cy="0"/>
          </xdr:xfrm>
          <a:graphic>
            <a:graphicData uri="http://schemas.microsoft.com/office/drawing/2010/slicer">
              <sle:slicer xmlns:sle="http://schemas.microsoft.com/office/drawing/2010/slicer" name="Purchase Type"/>
            </a:graphicData>
          </a:graphic>
        </xdr:graphicFrame>
      </mc:Choice>
      <mc:Fallback>
        <xdr:sp macro="" textlink="">
          <xdr:nvSpPr>
            <xdr:cNvPr id="0" name=""/>
            <xdr:cNvSpPr>
              <a:spLocks noTextEdit="1"/>
            </xdr:cNvSpPr>
          </xdr:nvSpPr>
          <xdr:spPr>
            <a:xfrm>
              <a:off x="8044313" y="3152514"/>
              <a:ext cx="2080297" cy="1334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519545</xdr:colOff>
      <xdr:row>7</xdr:row>
      <xdr:rowOff>126630</xdr:rowOff>
    </xdr:from>
    <xdr:to>
      <xdr:col>16</xdr:col>
      <xdr:colOff>452208</xdr:colOff>
      <xdr:row>12</xdr:row>
      <xdr:rowOff>9621</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C7E9AC01-1D80-2165-2A1C-DB3BD9FA3AC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580909" y="1473600"/>
              <a:ext cx="3569481" cy="845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76349</xdr:colOff>
      <xdr:row>30</xdr:row>
      <xdr:rowOff>72604</xdr:rowOff>
    </xdr:from>
    <xdr:to>
      <xdr:col>13</xdr:col>
      <xdr:colOff>37766</xdr:colOff>
      <xdr:row>42</xdr:row>
      <xdr:rowOff>161959</xdr:rowOff>
    </xdr:to>
    <xdr:graphicFrame macro="">
      <xdr:nvGraphicFramePr>
        <xdr:cNvPr id="12" name="Chart 11">
          <a:extLst>
            <a:ext uri="{FF2B5EF4-FFF2-40B4-BE49-F238E27FC236}">
              <a16:creationId xmlns:a16="http://schemas.microsoft.com/office/drawing/2014/main" id="{C8BF459B-FCCD-4C4F-999E-8C0F26839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372713</xdr:colOff>
      <xdr:row>45</xdr:row>
      <xdr:rowOff>24591</xdr:rowOff>
    </xdr:from>
    <xdr:to>
      <xdr:col>6</xdr:col>
      <xdr:colOff>334132</xdr:colOff>
      <xdr:row>57</xdr:row>
      <xdr:rowOff>113945</xdr:rowOff>
    </xdr:to>
    <xdr:graphicFrame macro="">
      <xdr:nvGraphicFramePr>
        <xdr:cNvPr id="13" name="Chart 12">
          <a:extLst>
            <a:ext uri="{FF2B5EF4-FFF2-40B4-BE49-F238E27FC236}">
              <a16:creationId xmlns:a16="http://schemas.microsoft.com/office/drawing/2014/main" id="{AB27B01D-6C92-4C3A-BB32-F7DE0218A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196351</xdr:colOff>
      <xdr:row>26</xdr:row>
      <xdr:rowOff>163561</xdr:rowOff>
    </xdr:from>
    <xdr:to>
      <xdr:col>16</xdr:col>
      <xdr:colOff>458239</xdr:colOff>
      <xdr:row>33</xdr:row>
      <xdr:rowOff>188627</xdr:rowOff>
    </xdr:to>
    <mc:AlternateContent xmlns:mc="http://schemas.openxmlformats.org/markup-compatibility/2006">
      <mc:Choice xmlns:a14="http://schemas.microsoft.com/office/drawing/2010/main" Requires="a14">
        <xdr:graphicFrame macro="">
          <xdr:nvGraphicFramePr>
            <xdr:cNvPr id="3" name="Payment Method">
              <a:extLst>
                <a:ext uri="{FF2B5EF4-FFF2-40B4-BE49-F238E27FC236}">
                  <a16:creationId xmlns:a16="http://schemas.microsoft.com/office/drawing/2014/main" id="{72F66233-94D7-E06D-7C04-694EA009D07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076124" y="5166591"/>
              <a:ext cx="2080297" cy="1372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247813</xdr:colOff>
      <xdr:row>6</xdr:row>
      <xdr:rowOff>54745</xdr:rowOff>
    </xdr:from>
    <xdr:to>
      <xdr:col>10</xdr:col>
      <xdr:colOff>350346</xdr:colOff>
      <xdr:row>13</xdr:row>
      <xdr:rowOff>54742</xdr:rowOff>
    </xdr:to>
    <xdr:grpSp>
      <xdr:nvGrpSpPr>
        <xdr:cNvPr id="21" name="Group 20">
          <a:extLst>
            <a:ext uri="{FF2B5EF4-FFF2-40B4-BE49-F238E27FC236}">
              <a16:creationId xmlns:a16="http://schemas.microsoft.com/office/drawing/2014/main" id="{49038352-8EC0-92D8-D777-B66D1E5754CF}"/>
            </a:ext>
          </a:extLst>
        </xdr:cNvPr>
        <xdr:cNvGrpSpPr/>
      </xdr:nvGrpSpPr>
      <xdr:grpSpPr>
        <a:xfrm>
          <a:off x="247813" y="1209290"/>
          <a:ext cx="6163897" cy="1346967"/>
          <a:chOff x="8415227" y="930605"/>
          <a:chExt cx="1930893" cy="1324739"/>
        </a:xfrm>
      </xdr:grpSpPr>
      <xdr:sp macro="" textlink="">
        <xdr:nvSpPr>
          <xdr:cNvPr id="10" name="Rectangle: Rounded Corners 9">
            <a:extLst>
              <a:ext uri="{FF2B5EF4-FFF2-40B4-BE49-F238E27FC236}">
                <a16:creationId xmlns:a16="http://schemas.microsoft.com/office/drawing/2014/main" id="{8E6C82F5-DF7A-1795-9280-36E412D788A8}"/>
              </a:ext>
            </a:extLst>
          </xdr:cNvPr>
          <xdr:cNvSpPr/>
        </xdr:nvSpPr>
        <xdr:spPr>
          <a:xfrm>
            <a:off x="8426177" y="973531"/>
            <a:ext cx="1908996" cy="1281813"/>
          </a:xfrm>
          <a:prstGeom prst="roundRect">
            <a:avLst/>
          </a:prstGeom>
          <a:solidFill>
            <a:schemeClr val="tx1">
              <a:lumMod val="65000"/>
              <a:lumOff val="3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AFEEE4C1-DB5B-19D4-7182-400644DB8E11}"/>
              </a:ext>
            </a:extLst>
          </xdr:cNvPr>
          <xdr:cNvSpPr txBox="1"/>
        </xdr:nvSpPr>
        <xdr:spPr>
          <a:xfrm>
            <a:off x="8422106" y="930605"/>
            <a:ext cx="1910231" cy="56543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Algerian" panose="04020705040A02060702" pitchFamily="82" charset="0"/>
              </a:rPr>
              <a:t>Total Sales</a:t>
            </a:r>
            <a:endParaRPr lang="en-US" sz="1100" b="1">
              <a:latin typeface="Algerian" panose="04020705040A02060702" pitchFamily="82" charset="0"/>
            </a:endParaRPr>
          </a:p>
        </xdr:txBody>
      </xdr:sp>
      <xdr:sp macro="" textlink="Charts!F45">
        <xdr:nvSpPr>
          <xdr:cNvPr id="14" name="TextBox 13">
            <a:extLst>
              <a:ext uri="{FF2B5EF4-FFF2-40B4-BE49-F238E27FC236}">
                <a16:creationId xmlns:a16="http://schemas.microsoft.com/office/drawing/2014/main" id="{0695E35E-CAE1-292E-66CB-CEA768C1897D}"/>
              </a:ext>
            </a:extLst>
          </xdr:cNvPr>
          <xdr:cNvSpPr txBox="1"/>
        </xdr:nvSpPr>
        <xdr:spPr>
          <a:xfrm>
            <a:off x="8426177" y="1532776"/>
            <a:ext cx="1908997" cy="437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9A13167-33F4-4225-BA57-E41139F75120}" type="TxLink">
              <a:rPr lang="en-US" sz="2800" b="0" i="0" u="none" strike="noStrike">
                <a:solidFill>
                  <a:srgbClr val="000000"/>
                </a:solidFill>
                <a:latin typeface="Berlin Sans FB" panose="020E0602020502020306" pitchFamily="34" charset="0"/>
                <a:ea typeface="Calibri"/>
                <a:cs typeface="Calibri"/>
              </a:rPr>
              <a:pPr algn="ctr"/>
              <a:t>₹7,69,515.86</a:t>
            </a:fld>
            <a:endParaRPr lang="en-US" sz="2800" b="0">
              <a:latin typeface="Berlin Sans FB" panose="020E0602020502020306" pitchFamily="34" charset="0"/>
            </a:endParaRPr>
          </a:p>
        </xdr:txBody>
      </xdr:sp>
      <mc:AlternateContent xmlns:mc="http://schemas.openxmlformats.org/markup-compatibility/2006">
        <mc:Choice xmlns:a14="http://schemas.microsoft.com/office/drawing/2010/main" Requires="a14">
          <xdr:pic>
            <xdr:nvPicPr>
              <xdr:cNvPr id="18" name="Picture 17">
                <a:extLst>
                  <a:ext uri="{FF2B5EF4-FFF2-40B4-BE49-F238E27FC236}">
                    <a16:creationId xmlns:a16="http://schemas.microsoft.com/office/drawing/2014/main" id="{6FCBBF26-1F6F-AFCB-EAF9-05F906020CF4}"/>
                  </a:ext>
                </a:extLst>
              </xdr:cNvPr>
              <xdr:cNvPicPr>
                <a:picLocks noChangeAspect="1" noChangeArrowheads="1"/>
                <a:extLst>
                  <a:ext uri="{84589F7E-364E-4C9E-8A38-B11213B215E9}">
                    <a14:cameraTool cellRange="Charts!$F$47" spid="_x0000_s1054"/>
                  </a:ext>
                </a:extLst>
              </xdr:cNvPicPr>
            </xdr:nvPicPr>
            <xdr:blipFill>
              <a:blip xmlns:r="http://schemas.openxmlformats.org/officeDocument/2006/relationships" r:embed="rId5"/>
              <a:srcRect/>
              <a:stretch>
                <a:fillRect/>
              </a:stretch>
            </xdr:blipFill>
            <xdr:spPr bwMode="auto">
              <a:xfrm>
                <a:off x="8415227" y="1948356"/>
                <a:ext cx="1930893" cy="305700"/>
              </a:xfrm>
              <a:prstGeom prst="rect">
                <a:avLst/>
              </a:prstGeom>
              <a:noFill/>
              <a:ln>
                <a:noFill/>
              </a:ln>
              <a:extLst>
                <a:ext uri="{909E8E84-426E-40DD-AFC4-6F175D3DCCD1}">
                  <a14:hiddenFill>
                    <a:solidFill>
                      <a:srgbClr val="FFFFFF"/>
                    </a:solidFill>
                  </a14:hiddenFill>
                </a:ext>
              </a:extLst>
            </xdr:spPr>
          </xdr:pic>
        </mc:Choice>
        <mc:Fallback/>
      </mc:AlternateContent>
    </xdr:grpSp>
    <xdr:clientData/>
  </xdr:twoCellAnchor>
  <xdr:twoCellAnchor editAs="oneCell">
    <xdr:from>
      <xdr:col>0</xdr:col>
      <xdr:colOff>543092</xdr:colOff>
      <xdr:row>0</xdr:row>
      <xdr:rowOff>75197</xdr:rowOff>
    </xdr:from>
    <xdr:to>
      <xdr:col>2</xdr:col>
      <xdr:colOff>237624</xdr:colOff>
      <xdr:row>5</xdr:row>
      <xdr:rowOff>70518</xdr:rowOff>
    </xdr:to>
    <xdr:pic>
      <xdr:nvPicPr>
        <xdr:cNvPr id="9" name="Graphic 8" descr="Table setting with solid fill">
          <a:extLst>
            <a:ext uri="{FF2B5EF4-FFF2-40B4-BE49-F238E27FC236}">
              <a16:creationId xmlns:a16="http://schemas.microsoft.com/office/drawing/2014/main" id="{A5D6BB49-1AE9-8029-CCCE-72A1887E297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3092" y="75197"/>
          <a:ext cx="914400" cy="914400"/>
        </a:xfrm>
        <a:prstGeom prst="rect">
          <a:avLst/>
        </a:prstGeom>
      </xdr:spPr>
    </xdr:pic>
    <xdr:clientData/>
  </xdr:twoCellAnchor>
  <xdr:twoCellAnchor editAs="oneCell">
    <xdr:from>
      <xdr:col>14</xdr:col>
      <xdr:colOff>515146</xdr:colOff>
      <xdr:row>0</xdr:row>
      <xdr:rowOff>109483</xdr:rowOff>
    </xdr:from>
    <xdr:to>
      <xdr:col>16</xdr:col>
      <xdr:colOff>32845</xdr:colOff>
      <xdr:row>4</xdr:row>
      <xdr:rowOff>115246</xdr:rowOff>
    </xdr:to>
    <xdr:pic>
      <xdr:nvPicPr>
        <xdr:cNvPr id="25" name="Graphic 24" descr="Fork and knife with solid fill">
          <a:extLst>
            <a:ext uri="{FF2B5EF4-FFF2-40B4-BE49-F238E27FC236}">
              <a16:creationId xmlns:a16="http://schemas.microsoft.com/office/drawing/2014/main" id="{8C59FF8F-95EE-9F3D-A260-BE0661E4BB2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098594" y="109483"/>
          <a:ext cx="743906" cy="750246"/>
        </a:xfrm>
        <a:prstGeom prst="rect">
          <a:avLst/>
        </a:prstGeom>
      </xdr:spPr>
    </xdr:pic>
    <xdr:clientData/>
  </xdr:twoCellAnchor>
  <xdr:twoCellAnchor>
    <xdr:from>
      <xdr:col>7</xdr:col>
      <xdr:colOff>68407</xdr:colOff>
      <xdr:row>45</xdr:row>
      <xdr:rowOff>15626</xdr:rowOff>
    </xdr:from>
    <xdr:to>
      <xdr:col>13</xdr:col>
      <xdr:colOff>28842</xdr:colOff>
      <xdr:row>57</xdr:row>
      <xdr:rowOff>108233</xdr:rowOff>
    </xdr:to>
    <xdr:graphicFrame macro="">
      <xdr:nvGraphicFramePr>
        <xdr:cNvPr id="6" name="Chart 5">
          <a:extLst>
            <a:ext uri="{FF2B5EF4-FFF2-40B4-BE49-F238E27FC236}">
              <a16:creationId xmlns:a16="http://schemas.microsoft.com/office/drawing/2014/main" id="{120F6B5F-4AA9-4538-9628-83BF725FC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205793</xdr:colOff>
      <xdr:row>36</xdr:row>
      <xdr:rowOff>101585</xdr:rowOff>
    </xdr:from>
    <xdr:to>
      <xdr:col>16</xdr:col>
      <xdr:colOff>467262</xdr:colOff>
      <xdr:row>41</xdr:row>
      <xdr:rowOff>93616</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324DDE61-ED3D-8618-E0AA-AE329C196C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085566" y="7028858"/>
              <a:ext cx="2079878" cy="954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580258</xdr:colOff>
      <xdr:row>14</xdr:row>
      <xdr:rowOff>142328</xdr:rowOff>
    </xdr:from>
    <xdr:to>
      <xdr:col>12</xdr:col>
      <xdr:colOff>536467</xdr:colOff>
      <xdr:row>27</xdr:row>
      <xdr:rowOff>32845</xdr:rowOff>
    </xdr:to>
    <xdr:graphicFrame macro="">
      <xdr:nvGraphicFramePr>
        <xdr:cNvPr id="16" name="Chart 15">
          <a:extLst>
            <a:ext uri="{FF2B5EF4-FFF2-40B4-BE49-F238E27FC236}">
              <a16:creationId xmlns:a16="http://schemas.microsoft.com/office/drawing/2014/main" id="{99FB49B6-EDA0-4A33-8389-59386EB4D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164224</xdr:colOff>
      <xdr:row>44</xdr:row>
      <xdr:rowOff>175173</xdr:rowOff>
    </xdr:from>
    <xdr:to>
      <xdr:col>16</xdr:col>
      <xdr:colOff>470776</xdr:colOff>
      <xdr:row>54</xdr:row>
      <xdr:rowOff>9416</xdr:rowOff>
    </xdr:to>
    <mc:AlternateContent xmlns:mc="http://schemas.openxmlformats.org/markup-compatibility/2006">
      <mc:Choice xmlns:a14="http://schemas.microsoft.com/office/drawing/2010/main" Requires="a14">
        <xdr:graphicFrame macro="">
          <xdr:nvGraphicFramePr>
            <xdr:cNvPr id="24" name="City 1">
              <a:extLst>
                <a:ext uri="{FF2B5EF4-FFF2-40B4-BE49-F238E27FC236}">
                  <a16:creationId xmlns:a16="http://schemas.microsoft.com/office/drawing/2014/main" id="{85ADACAE-8CCB-40BD-AD71-27721203772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043997" y="8641840"/>
              <a:ext cx="2124961" cy="1758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450850</xdr:colOff>
      <xdr:row>0</xdr:row>
      <xdr:rowOff>0</xdr:rowOff>
    </xdr:from>
    <xdr:to>
      <xdr:col>5</xdr:col>
      <xdr:colOff>273050</xdr:colOff>
      <xdr:row>8</xdr:row>
      <xdr:rowOff>130175</xdr:rowOff>
    </xdr:to>
    <xdr:graphicFrame macro="">
      <xdr:nvGraphicFramePr>
        <xdr:cNvPr id="2" name="Chart 1">
          <a:extLst>
            <a:ext uri="{FF2B5EF4-FFF2-40B4-BE49-F238E27FC236}">
              <a16:creationId xmlns:a16="http://schemas.microsoft.com/office/drawing/2014/main" id="{8F3864AF-14FC-5EDE-F5E9-E47DFE866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273050</xdr:colOff>
      <xdr:row>11</xdr:row>
      <xdr:rowOff>152400</xdr:rowOff>
    </xdr:from>
    <xdr:to>
      <xdr:col>6</xdr:col>
      <xdr:colOff>25400</xdr:colOff>
      <xdr:row>20</xdr:row>
      <xdr:rowOff>120650</xdr:rowOff>
    </xdr:to>
    <xdr:graphicFrame macro="">
      <xdr:nvGraphicFramePr>
        <xdr:cNvPr id="3" name="Chart 2">
          <a:extLst>
            <a:ext uri="{FF2B5EF4-FFF2-40B4-BE49-F238E27FC236}">
              <a16:creationId xmlns:a16="http://schemas.microsoft.com/office/drawing/2014/main" id="{73802E03-B75C-4156-8C44-37A21F153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431800</xdr:colOff>
      <xdr:row>0</xdr:row>
      <xdr:rowOff>165100</xdr:rowOff>
    </xdr:from>
    <xdr:to>
      <xdr:col>12</xdr:col>
      <xdr:colOff>501650</xdr:colOff>
      <xdr:row>7</xdr:row>
      <xdr:rowOff>155575</xdr:rowOff>
    </xdr:to>
    <xdr:graphicFrame macro="">
      <xdr:nvGraphicFramePr>
        <xdr:cNvPr id="4" name="Chart 3">
          <a:extLst>
            <a:ext uri="{FF2B5EF4-FFF2-40B4-BE49-F238E27FC236}">
              <a16:creationId xmlns:a16="http://schemas.microsoft.com/office/drawing/2014/main" id="{E859F545-18A7-CF46-0341-ED38058BA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234950</xdr:colOff>
      <xdr:row>9</xdr:row>
      <xdr:rowOff>76200</xdr:rowOff>
    </xdr:from>
    <xdr:to>
      <xdr:col>16</xdr:col>
      <xdr:colOff>44450</xdr:colOff>
      <xdr:row>22</xdr:row>
      <xdr:rowOff>12700</xdr:rowOff>
    </xdr:to>
    <xdr:graphicFrame macro="">
      <xdr:nvGraphicFramePr>
        <xdr:cNvPr id="5" name="Chart 4">
          <a:extLst>
            <a:ext uri="{FF2B5EF4-FFF2-40B4-BE49-F238E27FC236}">
              <a16:creationId xmlns:a16="http://schemas.microsoft.com/office/drawing/2014/main" id="{A1A08035-5B93-5EAD-69D4-909C21402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539750</xdr:colOff>
      <xdr:row>23</xdr:row>
      <xdr:rowOff>12699</xdr:rowOff>
    </xdr:from>
    <xdr:to>
      <xdr:col>8</xdr:col>
      <xdr:colOff>825500</xdr:colOff>
      <xdr:row>33</xdr:row>
      <xdr:rowOff>22224</xdr:rowOff>
    </xdr:to>
    <xdr:graphicFrame macro="">
      <xdr:nvGraphicFramePr>
        <xdr:cNvPr id="6" name="Chart 5">
          <a:extLst>
            <a:ext uri="{FF2B5EF4-FFF2-40B4-BE49-F238E27FC236}">
              <a16:creationId xmlns:a16="http://schemas.microsoft.com/office/drawing/2014/main" id="{6E15ACA0-BBCC-45F1-7FFF-60A486199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787400</xdr:colOff>
      <xdr:row>29</xdr:row>
      <xdr:rowOff>57150</xdr:rowOff>
    </xdr:from>
    <xdr:to>
      <xdr:col>2</xdr:col>
      <xdr:colOff>215900</xdr:colOff>
      <xdr:row>36</xdr:row>
      <xdr:rowOff>38100</xdr:rowOff>
    </xdr:to>
    <xdr:sp macro="" textlink="">
      <xdr:nvSpPr>
        <xdr:cNvPr id="7" name="Rectangle 6">
          <a:extLst>
            <a:ext uri="{FF2B5EF4-FFF2-40B4-BE49-F238E27FC236}">
              <a16:creationId xmlns:a16="http://schemas.microsoft.com/office/drawing/2014/main" id="{7A099CEB-7110-266C-5CDA-A2A7589717A9}"/>
            </a:ext>
          </a:extLst>
        </xdr:cNvPr>
        <xdr:cNvSpPr/>
      </xdr:nvSpPr>
      <xdr:spPr>
        <a:xfrm>
          <a:off x="787400" y="5397500"/>
          <a:ext cx="1663700" cy="127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oneCellAnchor>
    <xdr:from>
      <xdr:col>0</xdr:col>
      <xdr:colOff>666750</xdr:colOff>
      <xdr:row>25</xdr:row>
      <xdr:rowOff>146050</xdr:rowOff>
    </xdr:from>
    <xdr:ext cx="184731" cy="264560"/>
    <xdr:sp macro="" textlink="">
      <xdr:nvSpPr>
        <xdr:cNvPr id="8" name="TextBox 7">
          <a:extLst>
            <a:ext uri="{FF2B5EF4-FFF2-40B4-BE49-F238E27FC236}">
              <a16:creationId xmlns:a16="http://schemas.microsoft.com/office/drawing/2014/main" id="{B56F7275-2C92-FA23-331B-3B4774785C0F}"/>
            </a:ext>
          </a:extLst>
        </xdr:cNvPr>
        <xdr:cNvSpPr txBox="1"/>
      </xdr:nvSpPr>
      <xdr:spPr>
        <a:xfrm>
          <a:off x="666750" y="474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0</xdr:col>
      <xdr:colOff>882650</xdr:colOff>
      <xdr:row>29</xdr:row>
      <xdr:rowOff>120650</xdr:rowOff>
    </xdr:from>
    <xdr:to>
      <xdr:col>2</xdr:col>
      <xdr:colOff>82550</xdr:colOff>
      <xdr:row>31</xdr:row>
      <xdr:rowOff>139700</xdr:rowOff>
    </xdr:to>
    <xdr:sp macro="" textlink="">
      <xdr:nvSpPr>
        <xdr:cNvPr id="9" name="TextBox 8">
          <a:extLst>
            <a:ext uri="{FF2B5EF4-FFF2-40B4-BE49-F238E27FC236}">
              <a16:creationId xmlns:a16="http://schemas.microsoft.com/office/drawing/2014/main" id="{C35B6BFA-4DA2-58A2-19FC-0A79604481F8}"/>
            </a:ext>
          </a:extLst>
        </xdr:cNvPr>
        <xdr:cNvSpPr txBox="1"/>
      </xdr:nvSpPr>
      <xdr:spPr>
        <a:xfrm>
          <a:off x="882650" y="5461000"/>
          <a:ext cx="1435100" cy="38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kern="1200"/>
            <a:t>Price by sum</a:t>
          </a:r>
        </a:p>
      </xdr:txBody>
    </xdr:sp>
    <xdr:clientData/>
  </xdr:twoCellAnchor>
  <xdr:twoCellAnchor>
    <xdr:from>
      <xdr:col>0</xdr:col>
      <xdr:colOff>908050</xdr:colOff>
      <xdr:row>32</xdr:row>
      <xdr:rowOff>44450</xdr:rowOff>
    </xdr:from>
    <xdr:to>
      <xdr:col>2</xdr:col>
      <xdr:colOff>25400</xdr:colOff>
      <xdr:row>33</xdr:row>
      <xdr:rowOff>146050</xdr:rowOff>
    </xdr:to>
    <xdr:sp macro="" textlink="$B$28">
      <xdr:nvSpPr>
        <xdr:cNvPr id="12" name="TextBox 11">
          <a:extLst>
            <a:ext uri="{FF2B5EF4-FFF2-40B4-BE49-F238E27FC236}">
              <a16:creationId xmlns:a16="http://schemas.microsoft.com/office/drawing/2014/main" id="{7C066474-C266-8D56-7867-9E50A80DB052}"/>
            </a:ext>
          </a:extLst>
        </xdr:cNvPr>
        <xdr:cNvSpPr txBox="1"/>
      </xdr:nvSpPr>
      <xdr:spPr>
        <a:xfrm>
          <a:off x="908050" y="5937250"/>
          <a:ext cx="13525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0E9774-8366-4424-9F1C-E2F211C23636}" type="TxLink">
            <a:rPr lang="en-US" sz="1100" b="1" i="0" u="none" strike="noStrike" kern="1200">
              <a:solidFill>
                <a:srgbClr val="000000"/>
              </a:solidFill>
              <a:latin typeface="Calibri"/>
              <a:ea typeface="Calibri"/>
              <a:cs typeface="Calibri"/>
            </a:rPr>
            <a:pPr algn="ctr"/>
            <a:t>2.95</a:t>
          </a:fld>
          <a:endParaRPr lang="en-US" sz="1100" b="1" kern="1200"/>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0</xdr:colOff>
          <xdr:row>29</xdr:row>
          <xdr:rowOff>0</xdr:rowOff>
        </xdr:to>
        <xdr:pic>
          <xdr:nvPicPr>
            <xdr:cNvPr id="13" name="Picture 12">
              <a:extLst>
                <a:ext uri="{FF2B5EF4-FFF2-40B4-BE49-F238E27FC236}">
                  <a16:creationId xmlns:a16="http://schemas.microsoft.com/office/drawing/2014/main" id="{8CC5AC37-BFCE-594A-5C5A-057B2120CB58}"/>
                </a:ext>
              </a:extLst>
            </xdr:cNvPr>
            <xdr:cNvPicPr>
              <a:picLocks noChangeAspect="1" noChangeArrowheads="1"/>
              <a:extLst>
                <a:ext uri="{84589F7E-364E-4C9E-8A38-B11213B215E9}">
                  <a14:cameraTool cellRange="$B$29" spid="_x0000_s2108"/>
                </a:ext>
              </a:extLst>
            </xdr:cNvPicPr>
          </xdr:nvPicPr>
          <xdr:blipFill>
            <a:blip xmlns:r="http://schemas.openxmlformats.org/officeDocument/2006/relationships" r:embed="rId6"/>
            <a:srcRect/>
            <a:stretch>
              <a:fillRect/>
            </a:stretch>
          </xdr:blipFill>
          <xdr:spPr bwMode="auto">
            <a:xfrm>
              <a:off x="863600" y="5156200"/>
              <a:ext cx="781050" cy="1841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488949</xdr:colOff>
      <xdr:row>36</xdr:row>
      <xdr:rowOff>44450</xdr:rowOff>
    </xdr:from>
    <xdr:to>
      <xdr:col>9</xdr:col>
      <xdr:colOff>450850</xdr:colOff>
      <xdr:row>46</xdr:row>
      <xdr:rowOff>82550</xdr:rowOff>
    </xdr:to>
    <xdr:grpSp>
      <xdr:nvGrpSpPr>
        <xdr:cNvPr id="17" name="Group 16">
          <a:extLst>
            <a:ext uri="{FF2B5EF4-FFF2-40B4-BE49-F238E27FC236}">
              <a16:creationId xmlns:a16="http://schemas.microsoft.com/office/drawing/2014/main" id="{D53B139A-8928-B212-19D9-341CC68C578C}"/>
            </a:ext>
          </a:extLst>
        </xdr:cNvPr>
        <xdr:cNvGrpSpPr/>
      </xdr:nvGrpSpPr>
      <xdr:grpSpPr>
        <a:xfrm>
          <a:off x="5499099" y="6902450"/>
          <a:ext cx="2790826" cy="1943100"/>
          <a:chOff x="5683249" y="6673850"/>
          <a:chExt cx="2901951" cy="1879600"/>
        </a:xfrm>
      </xdr:grpSpPr>
      <xdr:sp macro="" textlink="">
        <xdr:nvSpPr>
          <xdr:cNvPr id="10" name="Rectangle: Rounded Corners 9">
            <a:extLst>
              <a:ext uri="{FF2B5EF4-FFF2-40B4-BE49-F238E27FC236}">
                <a16:creationId xmlns:a16="http://schemas.microsoft.com/office/drawing/2014/main" id="{FA7560F3-E116-6E4D-D9D6-363B97EF5549}"/>
              </a:ext>
            </a:extLst>
          </xdr:cNvPr>
          <xdr:cNvSpPr/>
        </xdr:nvSpPr>
        <xdr:spPr>
          <a:xfrm>
            <a:off x="5689600" y="6673850"/>
            <a:ext cx="2895600" cy="1879600"/>
          </a:xfrm>
          <a:prstGeom prst="roundRect">
            <a:avLst/>
          </a:prstGeom>
          <a:solidFill>
            <a:schemeClr val="bg2">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734018C9-DE67-C998-D361-5495990E5C58}"/>
              </a:ext>
            </a:extLst>
          </xdr:cNvPr>
          <xdr:cNvSpPr txBox="1"/>
        </xdr:nvSpPr>
        <xdr:spPr>
          <a:xfrm>
            <a:off x="5695950" y="6915150"/>
            <a:ext cx="2889250" cy="41275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lgerian" panose="04020705040A02060702" pitchFamily="82" charset="0"/>
              </a:rPr>
              <a:t>Total Sales</a:t>
            </a:r>
          </a:p>
        </xdr:txBody>
      </xdr:sp>
      <xdr:sp macro="" textlink="$F$45">
        <xdr:nvSpPr>
          <xdr:cNvPr id="14" name="TextBox 13">
            <a:extLst>
              <a:ext uri="{FF2B5EF4-FFF2-40B4-BE49-F238E27FC236}">
                <a16:creationId xmlns:a16="http://schemas.microsoft.com/office/drawing/2014/main" id="{E265CAC6-FB65-EB78-E654-C3A6BC0304CB}"/>
              </a:ext>
            </a:extLst>
          </xdr:cNvPr>
          <xdr:cNvSpPr txBox="1"/>
        </xdr:nvSpPr>
        <xdr:spPr>
          <a:xfrm>
            <a:off x="5702300" y="7391400"/>
            <a:ext cx="2882900" cy="44450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1F7EB9-51DF-4CE2-9C1B-2F30B6FD9F22}" type="TxLink">
              <a:rPr lang="en-US" sz="2400" b="1" i="1" u="none" strike="noStrike">
                <a:solidFill>
                  <a:srgbClr val="000000"/>
                </a:solidFill>
                <a:latin typeface="Berlin Sans FB" panose="020E0602020502020306" pitchFamily="34" charset="0"/>
                <a:ea typeface="Calibri"/>
                <a:cs typeface="Calibri"/>
              </a:rPr>
              <a:pPr algn="ctr"/>
              <a:t>₹7,69,515.86</a:t>
            </a:fld>
            <a:endParaRPr lang="en-US" sz="1100" b="1" i="1">
              <a:latin typeface="Berlin Sans FB" panose="020E0602020502020306" pitchFamily="34" charset="0"/>
            </a:endParaRPr>
          </a:p>
        </xdr:txBody>
      </xdr:sp>
      <mc:AlternateContent xmlns:mc="http://schemas.openxmlformats.org/markup-compatibility/2006" xmlns:a14="http://schemas.microsoft.com/office/drawing/2010/main">
        <mc:Choice Requires="a14">
          <xdr:pic>
            <xdr:nvPicPr>
              <xdr:cNvPr id="16" name="Picture 15">
                <a:extLst>
                  <a:ext uri="{FF2B5EF4-FFF2-40B4-BE49-F238E27FC236}">
                    <a16:creationId xmlns:a16="http://schemas.microsoft.com/office/drawing/2014/main" id="{7BC97F6C-A2D1-EF8A-E812-1C5C7FF69FF2}"/>
                  </a:ext>
                </a:extLst>
              </xdr:cNvPr>
              <xdr:cNvPicPr>
                <a:picLocks noChangeAspect="1" noChangeArrowheads="1"/>
                <a:extLst>
                  <a:ext uri="{84589F7E-364E-4C9E-8A38-B11213B215E9}">
                    <a14:cameraTool cellRange="$F$47" spid="_x0000_s2109"/>
                  </a:ext>
                </a:extLst>
              </xdr:cNvPicPr>
            </xdr:nvPicPr>
            <xdr:blipFill>
              <a:blip xmlns:r="http://schemas.openxmlformats.org/officeDocument/2006/relationships" r:embed="rId7"/>
              <a:srcRect/>
              <a:stretch>
                <a:fillRect/>
              </a:stretch>
            </xdr:blipFill>
            <xdr:spPr bwMode="auto">
              <a:xfrm>
                <a:off x="5683249" y="7924801"/>
                <a:ext cx="2897891" cy="403552"/>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8.734320949072" createdVersion="8" refreshedVersion="8" minRefreshableVersion="3" recordCount="254" xr:uid="{9E186E14-25B4-400A-AFFB-18B87F036CD3}">
  <cacheSource type="worksheet">
    <worksheetSource ref="A1:K255" sheet="Cleaned Data"/>
  </cacheSource>
  <cacheFields count="11">
    <cacheField name="Order ID" numFmtId="0">
      <sharedItems containsSemiMixedTypes="0" containsString="0" containsNumber="1" containsInteger="1" minValue="10452" maxValue="10713"/>
    </cacheField>
    <cacheField name="Date" numFmtId="14">
      <sharedItems containsDate="1" containsMixedTypes="1" minDate="2022-01-12T00:00:00" maxDate="2022-12-13T00:00:00" count="53">
        <d v="2022-07-11T00:00:00"/>
        <d v="2022-08-11T00:00:00"/>
        <d v="2022-09-11T00:00:00"/>
        <d v="2022-10-11T00:00:00"/>
        <d v="2022-11-11T00:00:00"/>
        <d v="2022-12-11T00:00:00"/>
        <s v="13-11-2022"/>
        <s v="14-11-2022"/>
        <s v="15-11-2022"/>
        <s v="16-11-2022"/>
        <s v="17-11-2022"/>
        <s v="18-11-2022"/>
        <s v="19-11-2022"/>
        <s v="20-11-2022"/>
        <s v="21-11-2022"/>
        <s v="22-11-2022"/>
        <s v="23-11-2022"/>
        <s v="24-11-2022"/>
        <s v="25-11-2022"/>
        <s v="26-11-2022"/>
        <s v="27-11-2022"/>
        <s v="28-11-2022"/>
        <s v="29-11-2022"/>
        <s v="30-11-2022"/>
        <d v="2022-01-12T00:00:00"/>
        <d v="2022-02-12T00:00:00"/>
        <d v="2022-03-12T00:00:00"/>
        <d v="2022-04-12T00:00:00"/>
        <d v="2022-05-12T00:00:00"/>
        <d v="2022-06-12T00:00:00"/>
        <d v="2022-07-12T00:00:00"/>
        <d v="2022-08-12T00:00:00"/>
        <d v="2022-09-12T00:00:00"/>
        <d v="2022-10-12T00:00:00"/>
        <d v="2022-11-12T00:00:00"/>
        <d v="2022-12-12T00:00:00"/>
        <s v="13-12-2022"/>
        <s v="14-12-2022"/>
        <s v="15-12-2022"/>
        <s v="16-12-2022"/>
        <s v="17-12-2022"/>
        <s v="18-12-2022"/>
        <s v="19-12-2022"/>
        <s v="20-12-2022"/>
        <s v="21-12-2022"/>
        <s v="22-12-2022"/>
        <s v="23-12-2022"/>
        <s v="24-12-2022"/>
        <s v="25-12-2022"/>
        <s v="26-12-2022"/>
        <s v="27-12-2022"/>
        <s v="28-12-2022"/>
        <s v="29-12-2022"/>
      </sharedItems>
    </cacheField>
    <cacheField name="Product" numFmtId="0">
      <sharedItems count="5">
        <s v="Fries"/>
        <s v="Beverages"/>
        <s v="Sides &amp; Other"/>
        <s v="Burgers"/>
        <s v="Chicken Sandwiches"/>
      </sharedItems>
    </cacheField>
    <cacheField name="Price" numFmtId="164">
      <sharedItems containsSemiMixedTypes="0" containsString="0" containsNumber="1" minValue="2.95" maxValue="29.05" count="7">
        <n v="3.49"/>
        <n v="2.95"/>
        <n v="4.99"/>
        <n v="12.99"/>
        <n v="9.9499999999999993"/>
        <n v="25.5"/>
        <n v="29.05"/>
      </sharedItems>
    </cacheField>
    <cacheField name="Quantity" numFmtId="0">
      <sharedItems containsSemiMixedTypes="0" containsString="0" containsNumber="1" minValue="200.4" maxValue="754.43" count="29">
        <n v="573.07000000000005"/>
        <n v="745.76"/>
        <n v="200.4"/>
        <n v="569.66999999999996"/>
        <n v="201.01"/>
        <n v="554.27"/>
        <n v="677.97"/>
        <n v="630.37"/>
        <n v="523.48"/>
        <n v="508.08"/>
        <n v="538.88"/>
        <n v="687.68"/>
        <n v="477.29"/>
        <n v="492.69"/>
        <n v="461.89"/>
        <n v="446.5"/>
        <n v="585.07000000000005"/>
        <n v="221.11"/>
        <n v="600.46"/>
        <n v="631.25"/>
        <n v="646.65"/>
        <n v="677.44"/>
        <n v="241.21"/>
        <n v="261.31"/>
        <n v="692.84"/>
        <n v="281.41000000000003"/>
        <n v="723.63"/>
        <n v="301.51"/>
        <n v="754.43"/>
      </sharedItems>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acheField>
    <cacheField name="City" numFmtId="0">
      <sharedItems/>
    </cacheField>
    <cacheField name="Goss sales" numFmtId="164">
      <sharedItems containsSemiMixedTypes="0" containsString="0" containsNumber="1" minValue="999.99600000000009" maxValue="16074.434999999999" count="31">
        <n v="2000.0143000000003"/>
        <n v="2199.9920000000002"/>
        <n v="999.99600000000009"/>
        <n v="7400.0132999999996"/>
        <n v="2000.0494999999999"/>
        <n v="7199.9673000000003"/>
        <n v="2000.0115000000003"/>
        <n v="2199.9913000000001"/>
        <n v="6800.0052000000005"/>
        <n v="6599.9592000000002"/>
        <n v="16074.434999999999"/>
        <n v="5839.3405000000002"/>
        <n v="7000.0511999999999"/>
        <n v="2400.0032000000001"/>
        <n v="6199.9971000000005"/>
        <n v="6400.0430999999999"/>
        <n v="5999.9511000000002"/>
        <n v="5800.0349999999999"/>
        <n v="7600.0593000000008"/>
        <n v="2200.0445"/>
        <n v="7799.9754000000003"/>
        <n v="8199.9375"/>
        <n v="8399.9835000000003"/>
        <n v="8799.9456000000009"/>
        <n v="2400.0394999999999"/>
        <n v="2600.0344999999998"/>
        <n v="8999.9916000000012"/>
        <n v="2800.0295000000001"/>
        <n v="9399.9537"/>
        <n v="3000.0244999999995"/>
        <n v="9800.0456999999988"/>
      </sharedItems>
    </cacheField>
    <cacheField name="Quantity Category" numFmtId="0">
      <sharedItems/>
    </cacheField>
  </cacheFields>
  <extLst>
    <ext xmlns:x14="http://schemas.microsoft.com/office/spreadsheetml/2009/9/main" uri="{725AE2AE-9491-48be-B2B4-4EB974FC3084}">
      <x14:pivotCacheDefinition pivotCacheId="2182212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1.515214004627" createdVersion="8" refreshedVersion="8" minRefreshableVersion="3" recordCount="254" xr:uid="{AFBC1797-63E6-4649-9DEC-FFB28EA23114}">
  <cacheSource type="worksheet">
    <worksheetSource ref="A1:L255" sheet="Cleaned Data"/>
  </cacheSource>
  <cacheFields count="12">
    <cacheField name="Order ID" numFmtId="0">
      <sharedItems containsSemiMixedTypes="0" containsString="0" containsNumber="1" containsInteger="1" minValue="10452" maxValue="10713"/>
    </cacheField>
    <cacheField name="Date" numFmtId="167">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164">
      <sharedItems containsSemiMixedTypes="0" containsString="0" containsNumber="1" minValue="2.95" maxValue="29.05"/>
    </cacheField>
    <cacheField name="Quantity" numFmtId="0">
      <sharedItems containsSemiMixedTypes="0" containsString="0" containsNumber="1" minValue="200.4" maxValue="754.43"/>
    </cacheField>
    <cacheField name="Purchase Type" numFmtId="0">
      <sharedItems/>
    </cacheField>
    <cacheField name="Payment Method" numFmtId="0">
      <sharedItems/>
    </cacheField>
    <cacheField name="Manager" numFmtId="0">
      <sharedItems/>
    </cacheField>
    <cacheField name="City" numFmtId="0">
      <sharedItems count="5">
        <s v="London"/>
        <s v="Madrid"/>
        <s v="Lisbon"/>
        <s v="Berlin"/>
        <s v="Paris"/>
      </sharedItems>
    </cacheField>
    <cacheField name="Total sales" numFmtId="164">
      <sharedItems containsSemiMixedTypes="0" containsString="0" containsNumber="1" minValue="999.99600000000009" maxValue="16074.434999999999"/>
    </cacheField>
    <cacheField name="Quantity Category" numFmtId="0">
      <sharedItems/>
    </cacheField>
    <cacheField name="Month" numFmtId="0">
      <sharedItems count="2">
        <s v="November"/>
        <s v="December"/>
      </sharedItems>
    </cacheField>
  </cacheFields>
  <extLst>
    <ext xmlns:x14="http://schemas.microsoft.com/office/spreadsheetml/2009/9/main" uri="{725AE2AE-9491-48be-B2B4-4EB974FC3084}">
      <x14:pivotCacheDefinition pivotCacheId="1769320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0452"/>
    <x v="0"/>
    <x v="0"/>
    <x v="0"/>
    <x v="0"/>
    <x v="0"/>
    <x v="0"/>
    <s v="Tom Jackson"/>
    <s v="London"/>
    <x v="0"/>
    <s v="High Quantity"/>
  </r>
  <r>
    <n v="10453"/>
    <x v="0"/>
    <x v="1"/>
    <x v="1"/>
    <x v="1"/>
    <x v="0"/>
    <x v="0"/>
    <s v="Pablo Perez"/>
    <s v="Madrid"/>
    <x v="1"/>
    <s v="High Quantity"/>
  </r>
  <r>
    <n v="10454"/>
    <x v="0"/>
    <x v="2"/>
    <x v="2"/>
    <x v="2"/>
    <x v="1"/>
    <x v="0"/>
    <s v="Joao Silva"/>
    <s v="Lisbon"/>
    <x v="2"/>
    <s v="Low Quantity"/>
  </r>
  <r>
    <n v="10455"/>
    <x v="1"/>
    <x v="3"/>
    <x v="3"/>
    <x v="3"/>
    <x v="1"/>
    <x v="1"/>
    <s v="Walter Muller"/>
    <s v="Berlin"/>
    <x v="3"/>
    <s v="High Quantity"/>
  </r>
  <r>
    <n v="10456"/>
    <x v="1"/>
    <x v="4"/>
    <x v="4"/>
    <x v="4"/>
    <x v="1"/>
    <x v="1"/>
    <s v="Walter Muller"/>
    <s v="Berlin"/>
    <x v="4"/>
    <s v="Low Quantity"/>
  </r>
  <r>
    <n v="10457"/>
    <x v="1"/>
    <x v="0"/>
    <x v="0"/>
    <x v="0"/>
    <x v="1"/>
    <x v="1"/>
    <s v="Remy Monet"/>
    <s v="Paris"/>
    <x v="0"/>
    <s v="High Quantity"/>
  </r>
  <r>
    <n v="10459"/>
    <x v="1"/>
    <x v="2"/>
    <x v="2"/>
    <x v="2"/>
    <x v="1"/>
    <x v="1"/>
    <s v="Walter Muller"/>
    <s v="Berlin"/>
    <x v="2"/>
    <s v="Low Quantity"/>
  </r>
  <r>
    <n v="10460"/>
    <x v="2"/>
    <x v="3"/>
    <x v="3"/>
    <x v="5"/>
    <x v="1"/>
    <x v="1"/>
    <s v="Remy Monet"/>
    <s v="Paris"/>
    <x v="5"/>
    <s v="High Quantity"/>
  </r>
  <r>
    <n v="10461"/>
    <x v="2"/>
    <x v="4"/>
    <x v="4"/>
    <x v="4"/>
    <x v="1"/>
    <x v="1"/>
    <s v="Remy Monet"/>
    <s v="Paris"/>
    <x v="4"/>
    <s v="Low Quantity"/>
  </r>
  <r>
    <n v="10462"/>
    <x v="2"/>
    <x v="0"/>
    <x v="0"/>
    <x v="0"/>
    <x v="1"/>
    <x v="1"/>
    <s v="Remy Monet"/>
    <s v="Paris"/>
    <x v="0"/>
    <s v="High Quantity"/>
  </r>
  <r>
    <n v="10463"/>
    <x v="2"/>
    <x v="1"/>
    <x v="1"/>
    <x v="6"/>
    <x v="1"/>
    <x v="1"/>
    <s v="Remy Monet"/>
    <s v="Paris"/>
    <x v="6"/>
    <s v="High Quantity"/>
  </r>
  <r>
    <n v="10464"/>
    <x v="2"/>
    <x v="2"/>
    <x v="2"/>
    <x v="2"/>
    <x v="1"/>
    <x v="1"/>
    <s v="Remy Monet"/>
    <s v="Paris"/>
    <x v="2"/>
    <s v="Low Quantity"/>
  </r>
  <r>
    <n v="10465"/>
    <x v="3"/>
    <x v="3"/>
    <x v="3"/>
    <x v="5"/>
    <x v="1"/>
    <x v="1"/>
    <s v="Pablo Perez"/>
    <s v="Madrid"/>
    <x v="5"/>
    <s v="High Quantity"/>
  </r>
  <r>
    <n v="10466"/>
    <x v="3"/>
    <x v="4"/>
    <x v="4"/>
    <x v="4"/>
    <x v="1"/>
    <x v="1"/>
    <s v="Pablo Perez"/>
    <s v="Madrid"/>
    <x v="4"/>
    <s v="Low Quantity"/>
  </r>
  <r>
    <n v="10467"/>
    <x v="3"/>
    <x v="0"/>
    <x v="0"/>
    <x v="0"/>
    <x v="1"/>
    <x v="1"/>
    <s v="Pablo Perez"/>
    <s v="Madrid"/>
    <x v="0"/>
    <s v="High Quantity"/>
  </r>
  <r>
    <n v="10468"/>
    <x v="3"/>
    <x v="1"/>
    <x v="1"/>
    <x v="6"/>
    <x v="1"/>
    <x v="1"/>
    <s v="Pablo Perez"/>
    <s v="Madrid"/>
    <x v="6"/>
    <s v="High Quantity"/>
  </r>
  <r>
    <n v="10470"/>
    <x v="4"/>
    <x v="3"/>
    <x v="3"/>
    <x v="5"/>
    <x v="1"/>
    <x v="1"/>
    <s v="Pablo Perez"/>
    <s v="Madrid"/>
    <x v="5"/>
    <s v="High Quantity"/>
  </r>
  <r>
    <n v="10471"/>
    <x v="4"/>
    <x v="4"/>
    <x v="4"/>
    <x v="4"/>
    <x v="1"/>
    <x v="1"/>
    <s v="Pablo Perez"/>
    <s v="Madrid"/>
    <x v="4"/>
    <s v="Low Quantity"/>
  </r>
  <r>
    <n v="10472"/>
    <x v="4"/>
    <x v="0"/>
    <x v="0"/>
    <x v="7"/>
    <x v="1"/>
    <x v="1"/>
    <s v="Pablo Perez"/>
    <s v="Madrid"/>
    <x v="7"/>
    <s v="High Quantity"/>
  </r>
  <r>
    <n v="10473"/>
    <x v="4"/>
    <x v="1"/>
    <x v="1"/>
    <x v="6"/>
    <x v="1"/>
    <x v="1"/>
    <s v="Pablo Perez"/>
    <s v="Madrid"/>
    <x v="6"/>
    <s v="High Quantity"/>
  </r>
  <r>
    <n v="10474"/>
    <x v="4"/>
    <x v="2"/>
    <x v="2"/>
    <x v="2"/>
    <x v="1"/>
    <x v="1"/>
    <s v="Pablo Perez"/>
    <s v="Madrid"/>
    <x v="2"/>
    <s v="Low Quantity"/>
  </r>
  <r>
    <n v="10475"/>
    <x v="5"/>
    <x v="3"/>
    <x v="3"/>
    <x v="8"/>
    <x v="1"/>
    <x v="1"/>
    <s v="Pablo Perez"/>
    <s v="Madrid"/>
    <x v="8"/>
    <s v="High Quantity"/>
  </r>
  <r>
    <n v="10476"/>
    <x v="5"/>
    <x v="4"/>
    <x v="4"/>
    <x v="4"/>
    <x v="1"/>
    <x v="1"/>
    <s v="Pablo Perez"/>
    <s v="Madrid"/>
    <x v="4"/>
    <s v="Low Quantity"/>
  </r>
  <r>
    <n v="10477"/>
    <x v="5"/>
    <x v="0"/>
    <x v="0"/>
    <x v="7"/>
    <x v="1"/>
    <x v="1"/>
    <s v="Pablo Perez"/>
    <s v="Madrid"/>
    <x v="7"/>
    <s v="High Quantity"/>
  </r>
  <r>
    <n v="10478"/>
    <x v="5"/>
    <x v="1"/>
    <x v="1"/>
    <x v="6"/>
    <x v="1"/>
    <x v="1"/>
    <s v="Pablo Perez"/>
    <s v="Madrid"/>
    <x v="6"/>
    <s v="High Quantity"/>
  </r>
  <r>
    <n v="10479"/>
    <x v="5"/>
    <x v="2"/>
    <x v="2"/>
    <x v="2"/>
    <x v="1"/>
    <x v="1"/>
    <s v="Pablo Perez"/>
    <s v="Madrid"/>
    <x v="2"/>
    <s v="Low Quantity"/>
  </r>
  <r>
    <n v="10480"/>
    <x v="6"/>
    <x v="3"/>
    <x v="3"/>
    <x v="9"/>
    <x v="1"/>
    <x v="1"/>
    <s v="Pablo Perez"/>
    <s v="Madrid"/>
    <x v="9"/>
    <s v="High Quantity"/>
  </r>
  <r>
    <n v="10481"/>
    <x v="6"/>
    <x v="4"/>
    <x v="4"/>
    <x v="4"/>
    <x v="1"/>
    <x v="1"/>
    <s v="Pablo Perez"/>
    <s v="Madrid"/>
    <x v="4"/>
    <s v="Low Quantity"/>
  </r>
  <r>
    <n v="10482"/>
    <x v="6"/>
    <x v="0"/>
    <x v="5"/>
    <x v="7"/>
    <x v="1"/>
    <x v="1"/>
    <s v="Joao Silva"/>
    <s v="Lisbon"/>
    <x v="10"/>
    <s v="High Quantity"/>
  </r>
  <r>
    <n v="10486"/>
    <x v="7"/>
    <x v="4"/>
    <x v="6"/>
    <x v="4"/>
    <x v="1"/>
    <x v="1"/>
    <s v="Joao Silva"/>
    <s v="Lisbon"/>
    <x v="11"/>
    <s v="Low Quantity"/>
  </r>
  <r>
    <n v="10487"/>
    <x v="7"/>
    <x v="0"/>
    <x v="0"/>
    <x v="7"/>
    <x v="1"/>
    <x v="1"/>
    <s v="Joao Silva"/>
    <s v="Lisbon"/>
    <x v="7"/>
    <s v="High Quantity"/>
  </r>
  <r>
    <n v="10488"/>
    <x v="7"/>
    <x v="1"/>
    <x v="1"/>
    <x v="6"/>
    <x v="1"/>
    <x v="1"/>
    <s v="Joao Silva"/>
    <s v="Lisbon"/>
    <x v="6"/>
    <s v="High Quantity"/>
  </r>
  <r>
    <n v="10489"/>
    <x v="7"/>
    <x v="2"/>
    <x v="2"/>
    <x v="2"/>
    <x v="1"/>
    <x v="1"/>
    <s v="Pablo Perez"/>
    <s v="Madrid"/>
    <x v="2"/>
    <s v="Low Quantity"/>
  </r>
  <r>
    <n v="10490"/>
    <x v="8"/>
    <x v="3"/>
    <x v="3"/>
    <x v="9"/>
    <x v="1"/>
    <x v="1"/>
    <s v="Pablo Perez"/>
    <s v="Madrid"/>
    <x v="9"/>
    <s v="High Quantity"/>
  </r>
  <r>
    <n v="10491"/>
    <x v="8"/>
    <x v="4"/>
    <x v="4"/>
    <x v="4"/>
    <x v="1"/>
    <x v="1"/>
    <s v="Pablo Perez"/>
    <s v="Madrid"/>
    <x v="4"/>
    <s v="Low Quantity"/>
  </r>
  <r>
    <n v="10492"/>
    <x v="8"/>
    <x v="0"/>
    <x v="0"/>
    <x v="0"/>
    <x v="1"/>
    <x v="1"/>
    <s v="Pablo Perez"/>
    <s v="Madrid"/>
    <x v="0"/>
    <s v="High Quantity"/>
  </r>
  <r>
    <n v="10493"/>
    <x v="8"/>
    <x v="1"/>
    <x v="1"/>
    <x v="6"/>
    <x v="1"/>
    <x v="1"/>
    <s v="Pablo Perez"/>
    <s v="Madrid"/>
    <x v="6"/>
    <s v="High Quantity"/>
  </r>
  <r>
    <n v="10494"/>
    <x v="8"/>
    <x v="2"/>
    <x v="2"/>
    <x v="2"/>
    <x v="1"/>
    <x v="1"/>
    <s v="Pablo Perez"/>
    <s v="Madrid"/>
    <x v="2"/>
    <s v="Low Quantity"/>
  </r>
  <r>
    <n v="10495"/>
    <x v="9"/>
    <x v="3"/>
    <x v="3"/>
    <x v="9"/>
    <x v="1"/>
    <x v="1"/>
    <s v="Pablo Perez"/>
    <s v="Madrid"/>
    <x v="9"/>
    <s v="High Quantity"/>
  </r>
  <r>
    <n v="10496"/>
    <x v="9"/>
    <x v="4"/>
    <x v="4"/>
    <x v="4"/>
    <x v="1"/>
    <x v="1"/>
    <s v="Pablo Perez"/>
    <s v="Madrid"/>
    <x v="4"/>
    <s v="Low Quantity"/>
  </r>
  <r>
    <n v="10497"/>
    <x v="9"/>
    <x v="0"/>
    <x v="0"/>
    <x v="0"/>
    <x v="1"/>
    <x v="1"/>
    <s v="Pablo Perez"/>
    <s v="Madrid"/>
    <x v="0"/>
    <s v="High Quantity"/>
  </r>
  <r>
    <n v="10498"/>
    <x v="9"/>
    <x v="1"/>
    <x v="1"/>
    <x v="6"/>
    <x v="2"/>
    <x v="1"/>
    <s v="Pablo Perez"/>
    <s v="Madrid"/>
    <x v="6"/>
    <s v="High Quantity"/>
  </r>
  <r>
    <n v="10499"/>
    <x v="9"/>
    <x v="2"/>
    <x v="2"/>
    <x v="2"/>
    <x v="2"/>
    <x v="1"/>
    <s v="Pablo Perez"/>
    <s v="Madrid"/>
    <x v="2"/>
    <s v="Low Quantity"/>
  </r>
  <r>
    <n v="10500"/>
    <x v="10"/>
    <x v="3"/>
    <x v="3"/>
    <x v="8"/>
    <x v="2"/>
    <x v="1"/>
    <s v="Pablo Perez"/>
    <s v="Madrid"/>
    <x v="8"/>
    <s v="High Quantity"/>
  </r>
  <r>
    <n v="10501"/>
    <x v="10"/>
    <x v="4"/>
    <x v="4"/>
    <x v="4"/>
    <x v="2"/>
    <x v="1"/>
    <s v="Pablo Perez"/>
    <s v="Madrid"/>
    <x v="4"/>
    <s v="Low Quantity"/>
  </r>
  <r>
    <n v="10502"/>
    <x v="10"/>
    <x v="0"/>
    <x v="0"/>
    <x v="7"/>
    <x v="2"/>
    <x v="1"/>
    <s v="Pablo Perez"/>
    <s v="Madrid"/>
    <x v="7"/>
    <s v="High Quantity"/>
  </r>
  <r>
    <n v="10503"/>
    <x v="10"/>
    <x v="1"/>
    <x v="1"/>
    <x v="6"/>
    <x v="2"/>
    <x v="1"/>
    <s v="Pablo Perez"/>
    <s v="Madrid"/>
    <x v="6"/>
    <s v="High Quantity"/>
  </r>
  <r>
    <n v="10504"/>
    <x v="10"/>
    <x v="2"/>
    <x v="2"/>
    <x v="2"/>
    <x v="2"/>
    <x v="1"/>
    <s v="Pablo Perez"/>
    <s v="Madrid"/>
    <x v="2"/>
    <s v="Low Quantity"/>
  </r>
  <r>
    <n v="10505"/>
    <x v="11"/>
    <x v="3"/>
    <x v="3"/>
    <x v="10"/>
    <x v="2"/>
    <x v="1"/>
    <s v="Pablo Perez"/>
    <s v="Madrid"/>
    <x v="12"/>
    <s v="High Quantity"/>
  </r>
  <r>
    <n v="10506"/>
    <x v="11"/>
    <x v="4"/>
    <x v="4"/>
    <x v="4"/>
    <x v="2"/>
    <x v="1"/>
    <s v="Pablo Perez"/>
    <s v="Madrid"/>
    <x v="4"/>
    <s v="Low Quantity"/>
  </r>
  <r>
    <n v="10507"/>
    <x v="11"/>
    <x v="0"/>
    <x v="0"/>
    <x v="11"/>
    <x v="2"/>
    <x v="1"/>
    <s v="Pablo Perez"/>
    <s v="Madrid"/>
    <x v="13"/>
    <s v="High Quantity"/>
  </r>
  <r>
    <n v="10508"/>
    <x v="11"/>
    <x v="1"/>
    <x v="1"/>
    <x v="6"/>
    <x v="2"/>
    <x v="1"/>
    <s v="Pablo Perez"/>
    <s v="Madrid"/>
    <x v="6"/>
    <s v="High Quantity"/>
  </r>
  <r>
    <n v="10509"/>
    <x v="11"/>
    <x v="2"/>
    <x v="2"/>
    <x v="2"/>
    <x v="2"/>
    <x v="1"/>
    <s v="Pablo Perez"/>
    <s v="Madrid"/>
    <x v="2"/>
    <s v="Low Quantity"/>
  </r>
  <r>
    <n v="10510"/>
    <x v="12"/>
    <x v="3"/>
    <x v="3"/>
    <x v="9"/>
    <x v="2"/>
    <x v="1"/>
    <s v="Pablo Perez"/>
    <s v="Madrid"/>
    <x v="9"/>
    <s v="High Quantity"/>
  </r>
  <r>
    <n v="10511"/>
    <x v="12"/>
    <x v="4"/>
    <x v="4"/>
    <x v="4"/>
    <x v="2"/>
    <x v="1"/>
    <s v="Joao Silva"/>
    <s v="Lisbon"/>
    <x v="4"/>
    <s v="Low Quantity"/>
  </r>
  <r>
    <n v="10512"/>
    <x v="12"/>
    <x v="0"/>
    <x v="0"/>
    <x v="11"/>
    <x v="2"/>
    <x v="1"/>
    <s v="Joao Silva"/>
    <s v="Lisbon"/>
    <x v="13"/>
    <s v="High Quantity"/>
  </r>
  <r>
    <n v="10513"/>
    <x v="12"/>
    <x v="1"/>
    <x v="1"/>
    <x v="6"/>
    <x v="2"/>
    <x v="2"/>
    <s v="Joao Silva"/>
    <s v="Lisbon"/>
    <x v="6"/>
    <s v="High Quantity"/>
  </r>
  <r>
    <n v="10514"/>
    <x v="12"/>
    <x v="2"/>
    <x v="2"/>
    <x v="2"/>
    <x v="2"/>
    <x v="2"/>
    <s v="Joao Silva"/>
    <s v="Lisbon"/>
    <x v="2"/>
    <s v="Low Quantity"/>
  </r>
  <r>
    <n v="10515"/>
    <x v="13"/>
    <x v="3"/>
    <x v="3"/>
    <x v="12"/>
    <x v="2"/>
    <x v="2"/>
    <s v="Joao Silva"/>
    <s v="Lisbon"/>
    <x v="14"/>
    <s v="Low Quantity"/>
  </r>
  <r>
    <n v="10516"/>
    <x v="13"/>
    <x v="4"/>
    <x v="4"/>
    <x v="4"/>
    <x v="2"/>
    <x v="2"/>
    <s v="Joao Silva"/>
    <s v="Lisbon"/>
    <x v="4"/>
    <s v="Low Quantity"/>
  </r>
  <r>
    <n v="10483"/>
    <x v="6"/>
    <x v="1"/>
    <x v="1"/>
    <x v="6"/>
    <x v="1"/>
    <x v="1"/>
    <s v="Joao Silva"/>
    <s v="Lisbon"/>
    <x v="6"/>
    <s v="High Quantity"/>
  </r>
  <r>
    <n v="10484"/>
    <x v="6"/>
    <x v="2"/>
    <x v="2"/>
    <x v="2"/>
    <x v="1"/>
    <x v="1"/>
    <s v="Joao Silva"/>
    <s v="Lisbon"/>
    <x v="2"/>
    <s v="Low Quantity"/>
  </r>
  <r>
    <n v="10485"/>
    <x v="7"/>
    <x v="3"/>
    <x v="3"/>
    <x v="8"/>
    <x v="1"/>
    <x v="1"/>
    <s v="Joao Silva"/>
    <s v="Lisbon"/>
    <x v="8"/>
    <s v="High Quantity"/>
  </r>
  <r>
    <n v="10520"/>
    <x v="14"/>
    <x v="3"/>
    <x v="3"/>
    <x v="13"/>
    <x v="2"/>
    <x v="2"/>
    <s v="Remy Monet"/>
    <s v="Paris"/>
    <x v="15"/>
    <s v="Low Quantity"/>
  </r>
  <r>
    <n v="10521"/>
    <x v="14"/>
    <x v="4"/>
    <x v="4"/>
    <x v="4"/>
    <x v="2"/>
    <x v="2"/>
    <s v="Remy Monet"/>
    <s v="Paris"/>
    <x v="4"/>
    <s v="Low Quantity"/>
  </r>
  <r>
    <n v="10522"/>
    <x v="14"/>
    <x v="0"/>
    <x v="0"/>
    <x v="11"/>
    <x v="2"/>
    <x v="2"/>
    <s v="Remy Monet"/>
    <s v="Paris"/>
    <x v="13"/>
    <s v="High Quantity"/>
  </r>
  <r>
    <n v="10523"/>
    <x v="14"/>
    <x v="1"/>
    <x v="1"/>
    <x v="1"/>
    <x v="2"/>
    <x v="2"/>
    <s v="Remy Monet"/>
    <s v="Paris"/>
    <x v="1"/>
    <s v="High Quantity"/>
  </r>
  <r>
    <n v="10524"/>
    <x v="14"/>
    <x v="2"/>
    <x v="2"/>
    <x v="2"/>
    <x v="2"/>
    <x v="2"/>
    <s v="Remy Monet"/>
    <s v="Paris"/>
    <x v="2"/>
    <s v="Low Quantity"/>
  </r>
  <r>
    <n v="10525"/>
    <x v="15"/>
    <x v="3"/>
    <x v="3"/>
    <x v="14"/>
    <x v="2"/>
    <x v="2"/>
    <s v="Remy Monet"/>
    <s v="Paris"/>
    <x v="16"/>
    <s v="Low Quantity"/>
  </r>
  <r>
    <n v="10526"/>
    <x v="15"/>
    <x v="4"/>
    <x v="4"/>
    <x v="4"/>
    <x v="2"/>
    <x v="2"/>
    <s v="Remy Monet"/>
    <s v="Paris"/>
    <x v="4"/>
    <s v="Low Quantity"/>
  </r>
  <r>
    <n v="10527"/>
    <x v="15"/>
    <x v="0"/>
    <x v="0"/>
    <x v="11"/>
    <x v="2"/>
    <x v="2"/>
    <s v="Remy Monet"/>
    <s v="Paris"/>
    <x v="13"/>
    <s v="High Quantity"/>
  </r>
  <r>
    <n v="10528"/>
    <x v="15"/>
    <x v="1"/>
    <x v="1"/>
    <x v="1"/>
    <x v="2"/>
    <x v="2"/>
    <s v="Remy Monet"/>
    <s v="Paris"/>
    <x v="1"/>
    <s v="High Quantity"/>
  </r>
  <r>
    <n v="10529"/>
    <x v="15"/>
    <x v="2"/>
    <x v="2"/>
    <x v="2"/>
    <x v="2"/>
    <x v="2"/>
    <s v="Remy Monet"/>
    <s v="Paris"/>
    <x v="2"/>
    <s v="Low Quantity"/>
  </r>
  <r>
    <n v="10530"/>
    <x v="16"/>
    <x v="3"/>
    <x v="3"/>
    <x v="12"/>
    <x v="2"/>
    <x v="2"/>
    <s v="Remy Monet"/>
    <s v="Paris"/>
    <x v="14"/>
    <s v="Low Quantity"/>
  </r>
  <r>
    <n v="10531"/>
    <x v="16"/>
    <x v="4"/>
    <x v="4"/>
    <x v="4"/>
    <x v="2"/>
    <x v="2"/>
    <s v="Remy Monet"/>
    <s v="Paris"/>
    <x v="4"/>
    <s v="Low Quantity"/>
  </r>
  <r>
    <n v="10532"/>
    <x v="16"/>
    <x v="0"/>
    <x v="0"/>
    <x v="11"/>
    <x v="2"/>
    <x v="2"/>
    <s v="Joao Silva"/>
    <s v="Lisbon"/>
    <x v="13"/>
    <s v="High Quantity"/>
  </r>
  <r>
    <n v="10533"/>
    <x v="16"/>
    <x v="1"/>
    <x v="1"/>
    <x v="1"/>
    <x v="2"/>
    <x v="2"/>
    <s v="Joao Silva"/>
    <s v="Lisbon"/>
    <x v="1"/>
    <s v="High Quantity"/>
  </r>
  <r>
    <n v="10534"/>
    <x v="16"/>
    <x v="2"/>
    <x v="2"/>
    <x v="2"/>
    <x v="2"/>
    <x v="2"/>
    <s v="Pablo Perez"/>
    <s v="Madrid"/>
    <x v="2"/>
    <s v="Low Quantity"/>
  </r>
  <r>
    <n v="10535"/>
    <x v="17"/>
    <x v="3"/>
    <x v="3"/>
    <x v="12"/>
    <x v="2"/>
    <x v="1"/>
    <s v="Pablo Perez"/>
    <s v="Madrid"/>
    <x v="14"/>
    <s v="Low Quantity"/>
  </r>
  <r>
    <n v="10536"/>
    <x v="17"/>
    <x v="4"/>
    <x v="4"/>
    <x v="4"/>
    <x v="2"/>
    <x v="1"/>
    <s v="Pablo Perez"/>
    <s v="Madrid"/>
    <x v="4"/>
    <s v="Low Quantity"/>
  </r>
  <r>
    <n v="10540"/>
    <x v="18"/>
    <x v="3"/>
    <x v="3"/>
    <x v="14"/>
    <x v="2"/>
    <x v="1"/>
    <s v="Pablo Perez"/>
    <s v="Madrid"/>
    <x v="16"/>
    <s v="Low Quantity"/>
  </r>
  <r>
    <n v="10541"/>
    <x v="18"/>
    <x v="4"/>
    <x v="4"/>
    <x v="4"/>
    <x v="2"/>
    <x v="1"/>
    <s v="Tom Jackson"/>
    <s v="London"/>
    <x v="4"/>
    <s v="Low Quantity"/>
  </r>
  <r>
    <n v="10542"/>
    <x v="18"/>
    <x v="0"/>
    <x v="0"/>
    <x v="7"/>
    <x v="2"/>
    <x v="1"/>
    <s v="Tom Jackson"/>
    <s v="London"/>
    <x v="7"/>
    <s v="High Quantity"/>
  </r>
  <r>
    <n v="10543"/>
    <x v="18"/>
    <x v="1"/>
    <x v="1"/>
    <x v="1"/>
    <x v="2"/>
    <x v="1"/>
    <s v="Tom Jackson"/>
    <s v="London"/>
    <x v="1"/>
    <s v="High Quantity"/>
  </r>
  <r>
    <n v="10544"/>
    <x v="18"/>
    <x v="2"/>
    <x v="2"/>
    <x v="2"/>
    <x v="2"/>
    <x v="1"/>
    <s v="Tom Jackson"/>
    <s v="London"/>
    <x v="2"/>
    <s v="Low Quantity"/>
  </r>
  <r>
    <n v="10545"/>
    <x v="19"/>
    <x v="3"/>
    <x v="3"/>
    <x v="15"/>
    <x v="2"/>
    <x v="1"/>
    <s v="Tom Jackson"/>
    <s v="London"/>
    <x v="17"/>
    <s v="Low Quantity"/>
  </r>
  <r>
    <n v="10546"/>
    <x v="19"/>
    <x v="4"/>
    <x v="4"/>
    <x v="4"/>
    <x v="2"/>
    <x v="1"/>
    <s v="Tom Jackson"/>
    <s v="London"/>
    <x v="4"/>
    <s v="Low Quantity"/>
  </r>
  <r>
    <n v="10547"/>
    <x v="19"/>
    <x v="0"/>
    <x v="0"/>
    <x v="7"/>
    <x v="2"/>
    <x v="1"/>
    <s v="Tom Jackson"/>
    <s v="London"/>
    <x v="7"/>
    <s v="High Quantity"/>
  </r>
  <r>
    <n v="10548"/>
    <x v="19"/>
    <x v="1"/>
    <x v="1"/>
    <x v="1"/>
    <x v="2"/>
    <x v="1"/>
    <s v="Tom Jackson"/>
    <s v="London"/>
    <x v="1"/>
    <s v="High Quantity"/>
  </r>
  <r>
    <n v="10549"/>
    <x v="19"/>
    <x v="2"/>
    <x v="2"/>
    <x v="2"/>
    <x v="2"/>
    <x v="1"/>
    <s v="Tom Jackson"/>
    <s v="London"/>
    <x v="2"/>
    <s v="Low Quantity"/>
  </r>
  <r>
    <n v="10550"/>
    <x v="20"/>
    <x v="3"/>
    <x v="3"/>
    <x v="14"/>
    <x v="2"/>
    <x v="1"/>
    <s v="Tom Jackson"/>
    <s v="London"/>
    <x v="16"/>
    <s v="Low Quantity"/>
  </r>
  <r>
    <n v="10551"/>
    <x v="20"/>
    <x v="4"/>
    <x v="4"/>
    <x v="4"/>
    <x v="2"/>
    <x v="1"/>
    <s v="Tom Jackson"/>
    <s v="London"/>
    <x v="4"/>
    <s v="Low Quantity"/>
  </r>
  <r>
    <n v="10552"/>
    <x v="20"/>
    <x v="0"/>
    <x v="0"/>
    <x v="7"/>
    <x v="0"/>
    <x v="1"/>
    <s v="Tom Jackson"/>
    <s v="London"/>
    <x v="7"/>
    <s v="High Quantity"/>
  </r>
  <r>
    <n v="10553"/>
    <x v="20"/>
    <x v="1"/>
    <x v="1"/>
    <x v="1"/>
    <x v="0"/>
    <x v="1"/>
    <s v="Tom Jackson"/>
    <s v="London"/>
    <x v="1"/>
    <s v="High Quantity"/>
  </r>
  <r>
    <n v="10554"/>
    <x v="20"/>
    <x v="2"/>
    <x v="2"/>
    <x v="2"/>
    <x v="0"/>
    <x v="1"/>
    <s v="Tom Jackson"/>
    <s v="London"/>
    <x v="2"/>
    <s v="Low Quantity"/>
  </r>
  <r>
    <n v="10555"/>
    <x v="21"/>
    <x v="3"/>
    <x v="3"/>
    <x v="12"/>
    <x v="0"/>
    <x v="1"/>
    <s v="Tom Jackson"/>
    <s v="London"/>
    <x v="14"/>
    <s v="Low Quantity"/>
  </r>
  <r>
    <n v="10556"/>
    <x v="21"/>
    <x v="4"/>
    <x v="4"/>
    <x v="4"/>
    <x v="0"/>
    <x v="1"/>
    <s v="Tom Jackson"/>
    <s v="London"/>
    <x v="4"/>
    <s v="Low Quantity"/>
  </r>
  <r>
    <n v="10557"/>
    <x v="21"/>
    <x v="0"/>
    <x v="0"/>
    <x v="7"/>
    <x v="0"/>
    <x v="1"/>
    <s v="Tom Jackson"/>
    <s v="London"/>
    <x v="7"/>
    <s v="High Quantity"/>
  </r>
  <r>
    <n v="10558"/>
    <x v="21"/>
    <x v="1"/>
    <x v="1"/>
    <x v="6"/>
    <x v="0"/>
    <x v="1"/>
    <s v="Tom Jackson"/>
    <s v="London"/>
    <x v="6"/>
    <s v="High Quantity"/>
  </r>
  <r>
    <n v="10559"/>
    <x v="21"/>
    <x v="2"/>
    <x v="2"/>
    <x v="2"/>
    <x v="0"/>
    <x v="1"/>
    <s v="Tom Jackson"/>
    <s v="London"/>
    <x v="2"/>
    <s v="Low Quantity"/>
  </r>
  <r>
    <n v="10560"/>
    <x v="22"/>
    <x v="3"/>
    <x v="3"/>
    <x v="12"/>
    <x v="0"/>
    <x v="1"/>
    <s v="Tom Jackson"/>
    <s v="London"/>
    <x v="14"/>
    <s v="Low Quantity"/>
  </r>
  <r>
    <n v="10561"/>
    <x v="22"/>
    <x v="4"/>
    <x v="4"/>
    <x v="4"/>
    <x v="0"/>
    <x v="1"/>
    <s v="Tom Jackson"/>
    <s v="London"/>
    <x v="4"/>
    <s v="Low Quantity"/>
  </r>
  <r>
    <n v="10562"/>
    <x v="22"/>
    <x v="0"/>
    <x v="0"/>
    <x v="7"/>
    <x v="0"/>
    <x v="1"/>
    <s v="Tom Jackson"/>
    <s v="London"/>
    <x v="7"/>
    <s v="High Quantity"/>
  </r>
  <r>
    <n v="10563"/>
    <x v="22"/>
    <x v="1"/>
    <x v="1"/>
    <x v="6"/>
    <x v="0"/>
    <x v="1"/>
    <s v="Tom Jackson"/>
    <s v="London"/>
    <x v="6"/>
    <s v="High Quantity"/>
  </r>
  <r>
    <n v="10564"/>
    <x v="22"/>
    <x v="2"/>
    <x v="2"/>
    <x v="2"/>
    <x v="0"/>
    <x v="1"/>
    <s v="Tom Jackson"/>
    <s v="London"/>
    <x v="2"/>
    <s v="Low Quantity"/>
  </r>
  <r>
    <n v="10565"/>
    <x v="23"/>
    <x v="3"/>
    <x v="3"/>
    <x v="13"/>
    <x v="0"/>
    <x v="1"/>
    <s v="Tom Jackson"/>
    <s v="London"/>
    <x v="15"/>
    <s v="Low Quantity"/>
  </r>
  <r>
    <n v="10566"/>
    <x v="23"/>
    <x v="4"/>
    <x v="4"/>
    <x v="4"/>
    <x v="0"/>
    <x v="1"/>
    <s v="Tom Jackson"/>
    <s v="London"/>
    <x v="4"/>
    <s v="Low Quantity"/>
  </r>
  <r>
    <n v="10567"/>
    <x v="23"/>
    <x v="0"/>
    <x v="0"/>
    <x v="7"/>
    <x v="0"/>
    <x v="1"/>
    <s v="Tom Jackson"/>
    <s v="London"/>
    <x v="7"/>
    <s v="High Quantity"/>
  </r>
  <r>
    <n v="10568"/>
    <x v="23"/>
    <x v="1"/>
    <x v="1"/>
    <x v="6"/>
    <x v="0"/>
    <x v="1"/>
    <s v="Tom Jackson"/>
    <s v="London"/>
    <x v="6"/>
    <s v="High Quantity"/>
  </r>
  <r>
    <n v="10569"/>
    <x v="23"/>
    <x v="2"/>
    <x v="2"/>
    <x v="2"/>
    <x v="0"/>
    <x v="1"/>
    <s v="Tom Jackson"/>
    <s v="London"/>
    <x v="2"/>
    <s v="Low Quantity"/>
  </r>
  <r>
    <n v="10570"/>
    <x v="24"/>
    <x v="3"/>
    <x v="3"/>
    <x v="13"/>
    <x v="0"/>
    <x v="1"/>
    <s v="Tom Jackson"/>
    <s v="London"/>
    <x v="15"/>
    <s v="Low Quantity"/>
  </r>
  <r>
    <n v="10571"/>
    <x v="24"/>
    <x v="4"/>
    <x v="4"/>
    <x v="4"/>
    <x v="0"/>
    <x v="1"/>
    <s v="Tom Jackson"/>
    <s v="London"/>
    <x v="4"/>
    <s v="Low Quantity"/>
  </r>
  <r>
    <n v="10572"/>
    <x v="24"/>
    <x v="0"/>
    <x v="0"/>
    <x v="0"/>
    <x v="0"/>
    <x v="1"/>
    <s v="Remy Monet"/>
    <s v="Paris"/>
    <x v="0"/>
    <s v="High Quantity"/>
  </r>
  <r>
    <n v="10573"/>
    <x v="24"/>
    <x v="1"/>
    <x v="1"/>
    <x v="6"/>
    <x v="0"/>
    <x v="1"/>
    <s v="Remy Monet"/>
    <s v="Paris"/>
    <x v="6"/>
    <s v="High Quantity"/>
  </r>
  <r>
    <n v="10574"/>
    <x v="24"/>
    <x v="2"/>
    <x v="2"/>
    <x v="2"/>
    <x v="0"/>
    <x v="1"/>
    <s v="Remy Monet"/>
    <s v="Paris"/>
    <x v="2"/>
    <s v="Low Quantity"/>
  </r>
  <r>
    <n v="10575"/>
    <x v="25"/>
    <x v="3"/>
    <x v="3"/>
    <x v="8"/>
    <x v="0"/>
    <x v="1"/>
    <s v="Remy Monet"/>
    <s v="Paris"/>
    <x v="8"/>
    <s v="High Quantity"/>
  </r>
  <r>
    <n v="10576"/>
    <x v="25"/>
    <x v="4"/>
    <x v="4"/>
    <x v="4"/>
    <x v="0"/>
    <x v="1"/>
    <s v="Remy Monet"/>
    <s v="Paris"/>
    <x v="4"/>
    <s v="Low Quantity"/>
  </r>
  <r>
    <n v="10577"/>
    <x v="25"/>
    <x v="0"/>
    <x v="0"/>
    <x v="7"/>
    <x v="0"/>
    <x v="1"/>
    <s v="Remy Monet"/>
    <s v="Paris"/>
    <x v="7"/>
    <s v="High Quantity"/>
  </r>
  <r>
    <n v="10578"/>
    <x v="25"/>
    <x v="1"/>
    <x v="1"/>
    <x v="6"/>
    <x v="0"/>
    <x v="1"/>
    <s v="Remy Monet"/>
    <s v="Paris"/>
    <x v="6"/>
    <s v="High Quantity"/>
  </r>
  <r>
    <n v="10579"/>
    <x v="25"/>
    <x v="2"/>
    <x v="2"/>
    <x v="2"/>
    <x v="0"/>
    <x v="1"/>
    <s v="Remy Monet"/>
    <s v="Paris"/>
    <x v="2"/>
    <s v="Low Quantity"/>
  </r>
  <r>
    <n v="10580"/>
    <x v="26"/>
    <x v="3"/>
    <x v="3"/>
    <x v="8"/>
    <x v="0"/>
    <x v="1"/>
    <s v="Remy Monet"/>
    <s v="Paris"/>
    <x v="8"/>
    <s v="High Quantity"/>
  </r>
  <r>
    <n v="10581"/>
    <x v="26"/>
    <x v="4"/>
    <x v="4"/>
    <x v="4"/>
    <x v="0"/>
    <x v="1"/>
    <s v="Remy Monet"/>
    <s v="Paris"/>
    <x v="4"/>
    <s v="Low Quantity"/>
  </r>
  <r>
    <n v="10582"/>
    <x v="26"/>
    <x v="0"/>
    <x v="0"/>
    <x v="7"/>
    <x v="0"/>
    <x v="1"/>
    <s v="Tom Jackson"/>
    <s v="London"/>
    <x v="7"/>
    <s v="High Quantity"/>
  </r>
  <r>
    <n v="10583"/>
    <x v="26"/>
    <x v="1"/>
    <x v="1"/>
    <x v="6"/>
    <x v="0"/>
    <x v="1"/>
    <s v="Tom Jackson"/>
    <s v="London"/>
    <x v="6"/>
    <s v="High Quantity"/>
  </r>
  <r>
    <n v="10584"/>
    <x v="26"/>
    <x v="2"/>
    <x v="2"/>
    <x v="2"/>
    <x v="0"/>
    <x v="1"/>
    <s v="Tom Jackson"/>
    <s v="London"/>
    <x v="2"/>
    <s v="Low Quantity"/>
  </r>
  <r>
    <n v="10585"/>
    <x v="27"/>
    <x v="3"/>
    <x v="3"/>
    <x v="10"/>
    <x v="0"/>
    <x v="1"/>
    <s v="Tom Jackson"/>
    <s v="London"/>
    <x v="12"/>
    <s v="High Quantity"/>
  </r>
  <r>
    <n v="10586"/>
    <x v="27"/>
    <x v="4"/>
    <x v="4"/>
    <x v="4"/>
    <x v="0"/>
    <x v="1"/>
    <s v="Tom Jackson"/>
    <s v="London"/>
    <x v="4"/>
    <s v="Low Quantity"/>
  </r>
  <r>
    <n v="10537"/>
    <x v="17"/>
    <x v="0"/>
    <x v="0"/>
    <x v="7"/>
    <x v="2"/>
    <x v="1"/>
    <s v="Pablo Perez"/>
    <s v="Madrid"/>
    <x v="7"/>
    <s v="High Quantity"/>
  </r>
  <r>
    <n v="10538"/>
    <x v="17"/>
    <x v="1"/>
    <x v="1"/>
    <x v="1"/>
    <x v="2"/>
    <x v="1"/>
    <s v="Pablo Perez"/>
    <s v="Madrid"/>
    <x v="1"/>
    <s v="High Quantity"/>
  </r>
  <r>
    <n v="10539"/>
    <x v="17"/>
    <x v="2"/>
    <x v="2"/>
    <x v="2"/>
    <x v="2"/>
    <x v="1"/>
    <s v="Pablo Perez"/>
    <s v="Madrid"/>
    <x v="2"/>
    <s v="Low Quantity"/>
  </r>
  <r>
    <n v="10590"/>
    <x v="28"/>
    <x v="3"/>
    <x v="3"/>
    <x v="5"/>
    <x v="0"/>
    <x v="1"/>
    <s v="Tom Jackson"/>
    <s v="London"/>
    <x v="5"/>
    <s v="High Quantity"/>
  </r>
  <r>
    <n v="10591"/>
    <x v="28"/>
    <x v="4"/>
    <x v="4"/>
    <x v="4"/>
    <x v="0"/>
    <x v="1"/>
    <s v="Tom Jackson"/>
    <s v="London"/>
    <x v="4"/>
    <s v="Low Quantity"/>
  </r>
  <r>
    <n v="10592"/>
    <x v="28"/>
    <x v="0"/>
    <x v="0"/>
    <x v="0"/>
    <x v="0"/>
    <x v="1"/>
    <s v="Tom Jackson"/>
    <s v="London"/>
    <x v="0"/>
    <s v="High Quantity"/>
  </r>
  <r>
    <n v="10593"/>
    <x v="28"/>
    <x v="1"/>
    <x v="1"/>
    <x v="6"/>
    <x v="0"/>
    <x v="1"/>
    <s v="Tom Jackson"/>
    <s v="London"/>
    <x v="6"/>
    <s v="High Quantity"/>
  </r>
  <r>
    <n v="10594"/>
    <x v="28"/>
    <x v="2"/>
    <x v="2"/>
    <x v="2"/>
    <x v="0"/>
    <x v="1"/>
    <s v="Tom Jackson"/>
    <s v="London"/>
    <x v="2"/>
    <s v="Low Quantity"/>
  </r>
  <r>
    <n v="10595"/>
    <x v="29"/>
    <x v="3"/>
    <x v="3"/>
    <x v="10"/>
    <x v="0"/>
    <x v="1"/>
    <s v="Tom Jackson"/>
    <s v="London"/>
    <x v="12"/>
    <s v="High Quantity"/>
  </r>
  <r>
    <n v="10596"/>
    <x v="29"/>
    <x v="4"/>
    <x v="4"/>
    <x v="4"/>
    <x v="0"/>
    <x v="1"/>
    <s v="Tom Jackson"/>
    <s v="London"/>
    <x v="4"/>
    <s v="Low Quantity"/>
  </r>
  <r>
    <n v="10597"/>
    <x v="29"/>
    <x v="0"/>
    <x v="0"/>
    <x v="0"/>
    <x v="0"/>
    <x v="1"/>
    <s v="Tom Jackson"/>
    <s v="London"/>
    <x v="0"/>
    <s v="High Quantity"/>
  </r>
  <r>
    <n v="10598"/>
    <x v="29"/>
    <x v="1"/>
    <x v="1"/>
    <x v="6"/>
    <x v="0"/>
    <x v="1"/>
    <s v="Tom Jackson"/>
    <s v="London"/>
    <x v="6"/>
    <s v="High Quantity"/>
  </r>
  <r>
    <n v="10599"/>
    <x v="29"/>
    <x v="2"/>
    <x v="2"/>
    <x v="2"/>
    <x v="0"/>
    <x v="1"/>
    <s v="Tom Jackson"/>
    <s v="London"/>
    <x v="2"/>
    <s v="Low Quantity"/>
  </r>
  <r>
    <n v="10600"/>
    <x v="30"/>
    <x v="3"/>
    <x v="3"/>
    <x v="8"/>
    <x v="0"/>
    <x v="1"/>
    <s v="Tom Jackson"/>
    <s v="London"/>
    <x v="8"/>
    <s v="High Quantity"/>
  </r>
  <r>
    <n v="10601"/>
    <x v="30"/>
    <x v="4"/>
    <x v="4"/>
    <x v="4"/>
    <x v="0"/>
    <x v="1"/>
    <s v="Tom Jackson"/>
    <s v="London"/>
    <x v="4"/>
    <s v="Low Quantity"/>
  </r>
  <r>
    <n v="10602"/>
    <x v="30"/>
    <x v="0"/>
    <x v="0"/>
    <x v="7"/>
    <x v="0"/>
    <x v="2"/>
    <s v="Tom Jackson"/>
    <s v="London"/>
    <x v="7"/>
    <s v="High Quantity"/>
  </r>
  <r>
    <n v="10603"/>
    <x v="30"/>
    <x v="1"/>
    <x v="1"/>
    <x v="6"/>
    <x v="0"/>
    <x v="2"/>
    <s v="Tom Jackson"/>
    <s v="London"/>
    <x v="6"/>
    <s v="High Quantity"/>
  </r>
  <r>
    <n v="10604"/>
    <x v="30"/>
    <x v="2"/>
    <x v="2"/>
    <x v="2"/>
    <x v="0"/>
    <x v="2"/>
    <s v="Tom Jackson"/>
    <s v="London"/>
    <x v="2"/>
    <s v="Low Quantity"/>
  </r>
  <r>
    <n v="10605"/>
    <x v="31"/>
    <x v="3"/>
    <x v="3"/>
    <x v="10"/>
    <x v="0"/>
    <x v="2"/>
    <s v="Tom Jackson"/>
    <s v="London"/>
    <x v="12"/>
    <s v="High Quantity"/>
  </r>
  <r>
    <n v="10606"/>
    <x v="31"/>
    <x v="4"/>
    <x v="4"/>
    <x v="4"/>
    <x v="0"/>
    <x v="2"/>
    <s v="Tom Jackson"/>
    <s v="London"/>
    <x v="4"/>
    <s v="Low Quantity"/>
  </r>
  <r>
    <n v="10607"/>
    <x v="31"/>
    <x v="0"/>
    <x v="0"/>
    <x v="7"/>
    <x v="0"/>
    <x v="2"/>
    <s v="Tom Jackson"/>
    <s v="London"/>
    <x v="7"/>
    <s v="High Quantity"/>
  </r>
  <r>
    <n v="10608"/>
    <x v="31"/>
    <x v="1"/>
    <x v="1"/>
    <x v="6"/>
    <x v="0"/>
    <x v="0"/>
    <s v="Tom Jackson"/>
    <s v="London"/>
    <x v="6"/>
    <s v="High Quantity"/>
  </r>
  <r>
    <n v="10609"/>
    <x v="31"/>
    <x v="2"/>
    <x v="2"/>
    <x v="2"/>
    <x v="0"/>
    <x v="0"/>
    <s v="Tom Jackson"/>
    <s v="London"/>
    <x v="2"/>
    <s v="Low Quantity"/>
  </r>
  <r>
    <n v="10610"/>
    <x v="32"/>
    <x v="3"/>
    <x v="3"/>
    <x v="3"/>
    <x v="0"/>
    <x v="0"/>
    <s v="Tom Jackson"/>
    <s v="London"/>
    <x v="3"/>
    <s v="High Quantity"/>
  </r>
  <r>
    <n v="10611"/>
    <x v="32"/>
    <x v="4"/>
    <x v="4"/>
    <x v="4"/>
    <x v="0"/>
    <x v="0"/>
    <s v="Tom Jackson"/>
    <s v="London"/>
    <x v="4"/>
    <s v="Low Quantity"/>
  </r>
  <r>
    <n v="10612"/>
    <x v="32"/>
    <x v="0"/>
    <x v="0"/>
    <x v="7"/>
    <x v="0"/>
    <x v="0"/>
    <s v="Tom Jackson"/>
    <s v="London"/>
    <x v="7"/>
    <s v="High Quantity"/>
  </r>
  <r>
    <n v="10613"/>
    <x v="32"/>
    <x v="1"/>
    <x v="1"/>
    <x v="6"/>
    <x v="0"/>
    <x v="0"/>
    <s v="Tom Jackson"/>
    <s v="London"/>
    <x v="6"/>
    <s v="High Quantity"/>
  </r>
  <r>
    <n v="10614"/>
    <x v="32"/>
    <x v="2"/>
    <x v="2"/>
    <x v="2"/>
    <x v="0"/>
    <x v="0"/>
    <s v="Tom Jackson"/>
    <s v="London"/>
    <x v="2"/>
    <s v="Low Quantity"/>
  </r>
  <r>
    <n v="10615"/>
    <x v="33"/>
    <x v="3"/>
    <x v="3"/>
    <x v="3"/>
    <x v="0"/>
    <x v="0"/>
    <s v="Tom Jackson"/>
    <s v="London"/>
    <x v="3"/>
    <s v="High Quantity"/>
  </r>
  <r>
    <n v="10616"/>
    <x v="33"/>
    <x v="4"/>
    <x v="4"/>
    <x v="4"/>
    <x v="0"/>
    <x v="0"/>
    <s v="Tom Jackson"/>
    <s v="London"/>
    <x v="4"/>
    <s v="Low Quantity"/>
  </r>
  <r>
    <n v="10617"/>
    <x v="33"/>
    <x v="0"/>
    <x v="0"/>
    <x v="7"/>
    <x v="0"/>
    <x v="0"/>
    <s v="Tom Jackson"/>
    <s v="London"/>
    <x v="7"/>
    <s v="High Quantity"/>
  </r>
  <r>
    <n v="10618"/>
    <x v="33"/>
    <x v="1"/>
    <x v="1"/>
    <x v="6"/>
    <x v="0"/>
    <x v="0"/>
    <s v="Tom Jackson"/>
    <s v="London"/>
    <x v="6"/>
    <s v="High Quantity"/>
  </r>
  <r>
    <n v="10619"/>
    <x v="33"/>
    <x v="2"/>
    <x v="2"/>
    <x v="2"/>
    <x v="0"/>
    <x v="0"/>
    <s v="Tom Jackson"/>
    <s v="London"/>
    <x v="2"/>
    <s v="Low Quantity"/>
  </r>
  <r>
    <n v="10620"/>
    <x v="34"/>
    <x v="3"/>
    <x v="3"/>
    <x v="16"/>
    <x v="0"/>
    <x v="0"/>
    <s v="Tom Jackson"/>
    <s v="London"/>
    <x v="18"/>
    <s v="High Quantity"/>
  </r>
  <r>
    <n v="10621"/>
    <x v="34"/>
    <x v="4"/>
    <x v="4"/>
    <x v="4"/>
    <x v="0"/>
    <x v="0"/>
    <s v="Tom Jackson"/>
    <s v="London"/>
    <x v="4"/>
    <s v="Low Quantity"/>
  </r>
  <r>
    <n v="10622"/>
    <x v="34"/>
    <x v="0"/>
    <x v="0"/>
    <x v="7"/>
    <x v="0"/>
    <x v="0"/>
    <s v="Tom Jackson"/>
    <s v="London"/>
    <x v="7"/>
    <s v="High Quantity"/>
  </r>
  <r>
    <n v="10623"/>
    <x v="34"/>
    <x v="1"/>
    <x v="1"/>
    <x v="1"/>
    <x v="0"/>
    <x v="0"/>
    <s v="Tom Jackson"/>
    <s v="London"/>
    <x v="1"/>
    <s v="High Quantity"/>
  </r>
  <r>
    <n v="10624"/>
    <x v="34"/>
    <x v="2"/>
    <x v="2"/>
    <x v="2"/>
    <x v="0"/>
    <x v="0"/>
    <s v="Tom Jackson"/>
    <s v="London"/>
    <x v="2"/>
    <s v="Low Quantity"/>
  </r>
  <r>
    <n v="10625"/>
    <x v="35"/>
    <x v="3"/>
    <x v="3"/>
    <x v="3"/>
    <x v="0"/>
    <x v="0"/>
    <s v="Tom Jackson"/>
    <s v="London"/>
    <x v="3"/>
    <s v="High Quantity"/>
  </r>
  <r>
    <n v="10626"/>
    <x v="35"/>
    <x v="4"/>
    <x v="4"/>
    <x v="4"/>
    <x v="0"/>
    <x v="0"/>
    <s v="Tom Jackson"/>
    <s v="London"/>
    <x v="4"/>
    <s v="Low Quantity"/>
  </r>
  <r>
    <n v="10627"/>
    <x v="35"/>
    <x v="0"/>
    <x v="0"/>
    <x v="7"/>
    <x v="0"/>
    <x v="0"/>
    <s v="Tom Jackson"/>
    <s v="London"/>
    <x v="7"/>
    <s v="High Quantity"/>
  </r>
  <r>
    <n v="10628"/>
    <x v="35"/>
    <x v="1"/>
    <x v="1"/>
    <x v="6"/>
    <x v="0"/>
    <x v="0"/>
    <s v="Joao Silva"/>
    <s v="Lisbon"/>
    <x v="6"/>
    <s v="High Quantity"/>
  </r>
  <r>
    <n v="10629"/>
    <x v="35"/>
    <x v="2"/>
    <x v="2"/>
    <x v="2"/>
    <x v="0"/>
    <x v="0"/>
    <s v="Joao Silva"/>
    <s v="Lisbon"/>
    <x v="2"/>
    <s v="Low Quantity"/>
  </r>
  <r>
    <n v="10630"/>
    <x v="36"/>
    <x v="3"/>
    <x v="3"/>
    <x v="3"/>
    <x v="0"/>
    <x v="2"/>
    <s v="Joao Silva"/>
    <s v="Lisbon"/>
    <x v="3"/>
    <s v="High Quantity"/>
  </r>
  <r>
    <n v="10631"/>
    <x v="36"/>
    <x v="4"/>
    <x v="4"/>
    <x v="4"/>
    <x v="0"/>
    <x v="0"/>
    <s v="Joao Silva"/>
    <s v="Lisbon"/>
    <x v="4"/>
    <s v="Low Quantity"/>
  </r>
  <r>
    <n v="10632"/>
    <x v="36"/>
    <x v="0"/>
    <x v="0"/>
    <x v="7"/>
    <x v="0"/>
    <x v="0"/>
    <s v="Joao Silva"/>
    <s v="Lisbon"/>
    <x v="7"/>
    <s v="High Quantity"/>
  </r>
  <r>
    <n v="10633"/>
    <x v="36"/>
    <x v="1"/>
    <x v="1"/>
    <x v="6"/>
    <x v="0"/>
    <x v="0"/>
    <s v="Joao Silva"/>
    <s v="Lisbon"/>
    <x v="6"/>
    <s v="High Quantity"/>
  </r>
  <r>
    <n v="10634"/>
    <x v="36"/>
    <x v="2"/>
    <x v="2"/>
    <x v="2"/>
    <x v="0"/>
    <x v="0"/>
    <s v="Joao Silva"/>
    <s v="Lisbon"/>
    <x v="2"/>
    <s v="Low Quantity"/>
  </r>
  <r>
    <n v="10635"/>
    <x v="37"/>
    <x v="3"/>
    <x v="3"/>
    <x v="5"/>
    <x v="0"/>
    <x v="0"/>
    <s v="Joao Silva"/>
    <s v="Lisbon"/>
    <x v="5"/>
    <s v="High Quantity"/>
  </r>
  <r>
    <n v="10636"/>
    <x v="37"/>
    <x v="4"/>
    <x v="4"/>
    <x v="17"/>
    <x v="0"/>
    <x v="0"/>
    <s v="Joao Silva"/>
    <s v="Lisbon"/>
    <x v="19"/>
    <s v="Low Quantity"/>
  </r>
  <r>
    <n v="10637"/>
    <x v="37"/>
    <x v="0"/>
    <x v="0"/>
    <x v="7"/>
    <x v="0"/>
    <x v="0"/>
    <s v="Joao Silva"/>
    <s v="Lisbon"/>
    <x v="7"/>
    <s v="High Quantity"/>
  </r>
  <r>
    <n v="10638"/>
    <x v="37"/>
    <x v="1"/>
    <x v="1"/>
    <x v="6"/>
    <x v="0"/>
    <x v="0"/>
    <s v="Joao Silva"/>
    <s v="Lisbon"/>
    <x v="6"/>
    <s v="High Quantity"/>
  </r>
  <r>
    <n v="10639"/>
    <x v="37"/>
    <x v="2"/>
    <x v="2"/>
    <x v="2"/>
    <x v="0"/>
    <x v="0"/>
    <s v="Joao Silva"/>
    <s v="Lisbon"/>
    <x v="2"/>
    <s v="Low Quantity"/>
  </r>
  <r>
    <n v="10640"/>
    <x v="38"/>
    <x v="3"/>
    <x v="3"/>
    <x v="10"/>
    <x v="0"/>
    <x v="0"/>
    <s v="Joao Silva"/>
    <s v="Lisbon"/>
    <x v="12"/>
    <s v="High Quantity"/>
  </r>
  <r>
    <n v="10641"/>
    <x v="38"/>
    <x v="4"/>
    <x v="4"/>
    <x v="17"/>
    <x v="0"/>
    <x v="0"/>
    <s v="Joao Silva"/>
    <s v="Lisbon"/>
    <x v="19"/>
    <s v="Low Quantity"/>
  </r>
  <r>
    <n v="10642"/>
    <x v="38"/>
    <x v="0"/>
    <x v="0"/>
    <x v="7"/>
    <x v="0"/>
    <x v="2"/>
    <s v="Joao Silva"/>
    <s v="Lisbon"/>
    <x v="7"/>
    <s v="High Quantity"/>
  </r>
  <r>
    <n v="10643"/>
    <x v="38"/>
    <x v="1"/>
    <x v="1"/>
    <x v="6"/>
    <x v="0"/>
    <x v="2"/>
    <s v="Joao Silva"/>
    <s v="Lisbon"/>
    <x v="6"/>
    <s v="High Quantity"/>
  </r>
  <r>
    <n v="10644"/>
    <x v="38"/>
    <x v="2"/>
    <x v="2"/>
    <x v="2"/>
    <x v="0"/>
    <x v="2"/>
    <s v="Joao Silva"/>
    <s v="Lisbon"/>
    <x v="2"/>
    <s v="Low Quantity"/>
  </r>
  <r>
    <n v="10645"/>
    <x v="39"/>
    <x v="3"/>
    <x v="3"/>
    <x v="3"/>
    <x v="0"/>
    <x v="2"/>
    <s v="Joao Silva"/>
    <s v="Lisbon"/>
    <x v="3"/>
    <s v="High Quantity"/>
  </r>
  <r>
    <n v="10646"/>
    <x v="39"/>
    <x v="4"/>
    <x v="4"/>
    <x v="17"/>
    <x v="0"/>
    <x v="2"/>
    <s v="Joao Silva"/>
    <s v="Lisbon"/>
    <x v="19"/>
    <s v="Low Quantity"/>
  </r>
  <r>
    <n v="10647"/>
    <x v="39"/>
    <x v="0"/>
    <x v="0"/>
    <x v="7"/>
    <x v="0"/>
    <x v="0"/>
    <s v="Joao Silva"/>
    <s v="Lisbon"/>
    <x v="7"/>
    <s v="High Quantity"/>
  </r>
  <r>
    <n v="10648"/>
    <x v="39"/>
    <x v="1"/>
    <x v="1"/>
    <x v="1"/>
    <x v="0"/>
    <x v="0"/>
    <s v="Joao Silva"/>
    <s v="Lisbon"/>
    <x v="1"/>
    <s v="High Quantity"/>
  </r>
  <r>
    <n v="10649"/>
    <x v="39"/>
    <x v="2"/>
    <x v="2"/>
    <x v="2"/>
    <x v="0"/>
    <x v="0"/>
    <s v="Joao Silva"/>
    <s v="Lisbon"/>
    <x v="2"/>
    <s v="Low Quantity"/>
  </r>
  <r>
    <n v="10650"/>
    <x v="40"/>
    <x v="3"/>
    <x v="3"/>
    <x v="16"/>
    <x v="0"/>
    <x v="0"/>
    <s v="Joao Silva"/>
    <s v="Lisbon"/>
    <x v="18"/>
    <s v="High Quantity"/>
  </r>
  <r>
    <n v="10651"/>
    <x v="40"/>
    <x v="4"/>
    <x v="4"/>
    <x v="17"/>
    <x v="0"/>
    <x v="0"/>
    <s v="Joao Silva"/>
    <s v="Lisbon"/>
    <x v="19"/>
    <s v="Low Quantity"/>
  </r>
  <r>
    <n v="10652"/>
    <x v="40"/>
    <x v="0"/>
    <x v="0"/>
    <x v="11"/>
    <x v="0"/>
    <x v="0"/>
    <s v="Joao Silva"/>
    <s v="Lisbon"/>
    <x v="13"/>
    <s v="High Quantity"/>
  </r>
  <r>
    <n v="10653"/>
    <x v="40"/>
    <x v="1"/>
    <x v="1"/>
    <x v="1"/>
    <x v="0"/>
    <x v="0"/>
    <s v="Joao Silva"/>
    <s v="Lisbon"/>
    <x v="1"/>
    <s v="High Quantity"/>
  </r>
  <r>
    <n v="10654"/>
    <x v="40"/>
    <x v="2"/>
    <x v="2"/>
    <x v="2"/>
    <x v="0"/>
    <x v="0"/>
    <s v="Joao Silva"/>
    <s v="Lisbon"/>
    <x v="2"/>
    <s v="Low Quantity"/>
  </r>
  <r>
    <n v="10655"/>
    <x v="41"/>
    <x v="3"/>
    <x v="3"/>
    <x v="18"/>
    <x v="0"/>
    <x v="0"/>
    <s v="Joao Silva"/>
    <s v="Lisbon"/>
    <x v="20"/>
    <s v="High Quantity"/>
  </r>
  <r>
    <n v="10656"/>
    <x v="41"/>
    <x v="4"/>
    <x v="4"/>
    <x v="17"/>
    <x v="0"/>
    <x v="0"/>
    <s v="Joao Silva"/>
    <s v="Lisbon"/>
    <x v="19"/>
    <s v="Low Quantity"/>
  </r>
  <r>
    <n v="10657"/>
    <x v="41"/>
    <x v="0"/>
    <x v="0"/>
    <x v="11"/>
    <x v="0"/>
    <x v="0"/>
    <s v="Joao Silva"/>
    <s v="Lisbon"/>
    <x v="13"/>
    <s v="High Quantity"/>
  </r>
  <r>
    <n v="10658"/>
    <x v="41"/>
    <x v="1"/>
    <x v="1"/>
    <x v="1"/>
    <x v="0"/>
    <x v="2"/>
    <s v="Joao Silva"/>
    <s v="Lisbon"/>
    <x v="1"/>
    <s v="High Quantity"/>
  </r>
  <r>
    <n v="10659"/>
    <x v="41"/>
    <x v="2"/>
    <x v="2"/>
    <x v="2"/>
    <x v="0"/>
    <x v="2"/>
    <s v="Joao Silva"/>
    <s v="Lisbon"/>
    <x v="2"/>
    <s v="Low Quantity"/>
  </r>
  <r>
    <n v="10660"/>
    <x v="42"/>
    <x v="3"/>
    <x v="3"/>
    <x v="19"/>
    <x v="1"/>
    <x v="2"/>
    <s v="Joao Silva"/>
    <s v="Lisbon"/>
    <x v="21"/>
    <s v="High Quantity"/>
  </r>
  <r>
    <n v="10661"/>
    <x v="42"/>
    <x v="4"/>
    <x v="4"/>
    <x v="17"/>
    <x v="1"/>
    <x v="2"/>
    <s v="Joao Silva"/>
    <s v="Lisbon"/>
    <x v="19"/>
    <s v="Low Quantity"/>
  </r>
  <r>
    <n v="10662"/>
    <x v="42"/>
    <x v="0"/>
    <x v="0"/>
    <x v="7"/>
    <x v="1"/>
    <x v="2"/>
    <s v="Joao Silva"/>
    <s v="Lisbon"/>
    <x v="7"/>
    <s v="High Quantity"/>
  </r>
  <r>
    <n v="10663"/>
    <x v="42"/>
    <x v="1"/>
    <x v="1"/>
    <x v="1"/>
    <x v="1"/>
    <x v="2"/>
    <s v="Joao Silva"/>
    <s v="Lisbon"/>
    <x v="1"/>
    <s v="High Quantity"/>
  </r>
  <r>
    <n v="10664"/>
    <x v="42"/>
    <x v="2"/>
    <x v="2"/>
    <x v="2"/>
    <x v="1"/>
    <x v="2"/>
    <s v="Joao Silva"/>
    <s v="Lisbon"/>
    <x v="2"/>
    <s v="Low Quantity"/>
  </r>
  <r>
    <n v="10665"/>
    <x v="43"/>
    <x v="3"/>
    <x v="3"/>
    <x v="20"/>
    <x v="1"/>
    <x v="2"/>
    <s v="Joao Silva"/>
    <s v="Lisbon"/>
    <x v="22"/>
    <s v="High Quantity"/>
  </r>
  <r>
    <n v="10666"/>
    <x v="43"/>
    <x v="4"/>
    <x v="4"/>
    <x v="17"/>
    <x v="1"/>
    <x v="2"/>
    <s v="Joao Silva"/>
    <s v="Lisbon"/>
    <x v="19"/>
    <s v="Low Quantity"/>
  </r>
  <r>
    <n v="10667"/>
    <x v="43"/>
    <x v="0"/>
    <x v="0"/>
    <x v="7"/>
    <x v="1"/>
    <x v="2"/>
    <s v="Joao Silva"/>
    <s v="Lisbon"/>
    <x v="7"/>
    <s v="High Quantity"/>
  </r>
  <r>
    <n v="10668"/>
    <x v="43"/>
    <x v="1"/>
    <x v="1"/>
    <x v="1"/>
    <x v="1"/>
    <x v="2"/>
    <s v="Joao Silva"/>
    <s v="Lisbon"/>
    <x v="1"/>
    <s v="High Quantity"/>
  </r>
  <r>
    <n v="10669"/>
    <x v="43"/>
    <x v="2"/>
    <x v="2"/>
    <x v="2"/>
    <x v="1"/>
    <x v="2"/>
    <s v="Joao Silva"/>
    <s v="Lisbon"/>
    <x v="2"/>
    <s v="Low Quantity"/>
  </r>
  <r>
    <n v="10670"/>
    <x v="44"/>
    <x v="3"/>
    <x v="3"/>
    <x v="21"/>
    <x v="1"/>
    <x v="2"/>
    <s v="Joao Silva"/>
    <s v="Lisbon"/>
    <x v="23"/>
    <s v="High Quantity"/>
  </r>
  <r>
    <n v="10671"/>
    <x v="44"/>
    <x v="4"/>
    <x v="4"/>
    <x v="17"/>
    <x v="1"/>
    <x v="2"/>
    <s v="Joao Silva"/>
    <s v="Lisbon"/>
    <x v="19"/>
    <s v="Low Quantity"/>
  </r>
  <r>
    <n v="10672"/>
    <x v="44"/>
    <x v="0"/>
    <x v="0"/>
    <x v="7"/>
    <x v="1"/>
    <x v="2"/>
    <s v="Joao Silva"/>
    <s v="Lisbon"/>
    <x v="7"/>
    <s v="High Quantity"/>
  </r>
  <r>
    <n v="10673"/>
    <x v="44"/>
    <x v="1"/>
    <x v="1"/>
    <x v="1"/>
    <x v="1"/>
    <x v="2"/>
    <s v="Joao Silva"/>
    <s v="Lisbon"/>
    <x v="1"/>
    <s v="High Quantity"/>
  </r>
  <r>
    <n v="10674"/>
    <x v="44"/>
    <x v="2"/>
    <x v="2"/>
    <x v="2"/>
    <x v="1"/>
    <x v="2"/>
    <s v="Joao Silva"/>
    <s v="Lisbon"/>
    <x v="2"/>
    <s v="Low Quantity"/>
  </r>
  <r>
    <n v="10675"/>
    <x v="45"/>
    <x v="3"/>
    <x v="3"/>
    <x v="21"/>
    <x v="1"/>
    <x v="2"/>
    <s v="Joao Silva"/>
    <s v="Lisbon"/>
    <x v="23"/>
    <s v="High Quantity"/>
  </r>
  <r>
    <n v="10676"/>
    <x v="45"/>
    <x v="4"/>
    <x v="4"/>
    <x v="22"/>
    <x v="1"/>
    <x v="2"/>
    <s v="Joao Silva"/>
    <s v="Lisbon"/>
    <x v="24"/>
    <s v="Low Quantity"/>
  </r>
  <r>
    <n v="10677"/>
    <x v="45"/>
    <x v="0"/>
    <x v="0"/>
    <x v="7"/>
    <x v="1"/>
    <x v="2"/>
    <s v="Joao Silva"/>
    <s v="Lisbon"/>
    <x v="7"/>
    <s v="High Quantity"/>
  </r>
  <r>
    <n v="10678"/>
    <x v="45"/>
    <x v="1"/>
    <x v="1"/>
    <x v="1"/>
    <x v="1"/>
    <x v="2"/>
    <s v="Joao Silva"/>
    <s v="Lisbon"/>
    <x v="1"/>
    <s v="High Quantity"/>
  </r>
  <r>
    <n v="10679"/>
    <x v="45"/>
    <x v="2"/>
    <x v="2"/>
    <x v="2"/>
    <x v="1"/>
    <x v="2"/>
    <s v="Joao Silva"/>
    <s v="Lisbon"/>
    <x v="2"/>
    <s v="Low Quantity"/>
  </r>
  <r>
    <n v="10680"/>
    <x v="46"/>
    <x v="3"/>
    <x v="3"/>
    <x v="20"/>
    <x v="1"/>
    <x v="2"/>
    <s v="Joao Silva"/>
    <s v="Lisbon"/>
    <x v="22"/>
    <s v="High Quantity"/>
  </r>
  <r>
    <n v="10681"/>
    <x v="46"/>
    <x v="4"/>
    <x v="4"/>
    <x v="22"/>
    <x v="1"/>
    <x v="2"/>
    <s v="Joao Silva"/>
    <s v="Lisbon"/>
    <x v="24"/>
    <s v="Low Quantity"/>
  </r>
  <r>
    <n v="10682"/>
    <x v="46"/>
    <x v="0"/>
    <x v="0"/>
    <x v="7"/>
    <x v="1"/>
    <x v="2"/>
    <s v="Joao Silva"/>
    <s v="Lisbon"/>
    <x v="7"/>
    <s v="High Quantity"/>
  </r>
  <r>
    <n v="10683"/>
    <x v="46"/>
    <x v="1"/>
    <x v="1"/>
    <x v="6"/>
    <x v="1"/>
    <x v="2"/>
    <s v="Joao Silva"/>
    <s v="Lisbon"/>
    <x v="6"/>
    <s v="High Quantity"/>
  </r>
  <r>
    <n v="10684"/>
    <x v="46"/>
    <x v="2"/>
    <x v="2"/>
    <x v="2"/>
    <x v="1"/>
    <x v="2"/>
    <s v="Joao Silva"/>
    <s v="Lisbon"/>
    <x v="2"/>
    <s v="Low Quantity"/>
  </r>
  <r>
    <n v="10685"/>
    <x v="47"/>
    <x v="3"/>
    <x v="3"/>
    <x v="21"/>
    <x v="1"/>
    <x v="2"/>
    <s v="Joao Silva"/>
    <s v="Lisbon"/>
    <x v="23"/>
    <s v="High Quantity"/>
  </r>
  <r>
    <n v="10686"/>
    <x v="47"/>
    <x v="4"/>
    <x v="4"/>
    <x v="22"/>
    <x v="1"/>
    <x v="2"/>
    <s v="Joao Silva"/>
    <s v="Lisbon"/>
    <x v="24"/>
    <s v="Low Quantity"/>
  </r>
  <r>
    <n v="10687"/>
    <x v="47"/>
    <x v="0"/>
    <x v="0"/>
    <x v="7"/>
    <x v="1"/>
    <x v="2"/>
    <s v="Walter Muller"/>
    <s v="Berlin"/>
    <x v="7"/>
    <s v="High Quantity"/>
  </r>
  <r>
    <n v="10688"/>
    <x v="47"/>
    <x v="1"/>
    <x v="1"/>
    <x v="6"/>
    <x v="1"/>
    <x v="2"/>
    <s v="Walter Muller"/>
    <s v="Berlin"/>
    <x v="6"/>
    <s v="High Quantity"/>
  </r>
  <r>
    <n v="10689"/>
    <x v="47"/>
    <x v="2"/>
    <x v="2"/>
    <x v="2"/>
    <x v="1"/>
    <x v="2"/>
    <s v="Walter Muller"/>
    <s v="Berlin"/>
    <x v="2"/>
    <s v="Low Quantity"/>
  </r>
  <r>
    <n v="10690"/>
    <x v="48"/>
    <x v="3"/>
    <x v="3"/>
    <x v="21"/>
    <x v="1"/>
    <x v="2"/>
    <s v="Walter Muller"/>
    <s v="Berlin"/>
    <x v="23"/>
    <s v="High Quantity"/>
  </r>
  <r>
    <n v="10691"/>
    <x v="48"/>
    <x v="4"/>
    <x v="4"/>
    <x v="23"/>
    <x v="1"/>
    <x v="2"/>
    <s v="Walter Muller"/>
    <s v="Berlin"/>
    <x v="25"/>
    <s v="Low Quantity"/>
  </r>
  <r>
    <n v="10692"/>
    <x v="48"/>
    <x v="0"/>
    <x v="0"/>
    <x v="7"/>
    <x v="1"/>
    <x v="2"/>
    <s v="Walter Muller"/>
    <s v="Berlin"/>
    <x v="7"/>
    <s v="High Quantity"/>
  </r>
  <r>
    <n v="10693"/>
    <x v="48"/>
    <x v="1"/>
    <x v="1"/>
    <x v="6"/>
    <x v="1"/>
    <x v="2"/>
    <s v="Walter Muller"/>
    <s v="Berlin"/>
    <x v="6"/>
    <s v="High Quantity"/>
  </r>
  <r>
    <n v="10694"/>
    <x v="48"/>
    <x v="2"/>
    <x v="2"/>
    <x v="2"/>
    <x v="1"/>
    <x v="2"/>
    <s v="Walter Muller"/>
    <s v="Berlin"/>
    <x v="2"/>
    <s v="Low Quantity"/>
  </r>
  <r>
    <n v="10695"/>
    <x v="49"/>
    <x v="3"/>
    <x v="3"/>
    <x v="24"/>
    <x v="1"/>
    <x v="2"/>
    <s v="Walter Muller"/>
    <s v="Berlin"/>
    <x v="26"/>
    <s v="High Quantity"/>
  </r>
  <r>
    <n v="10696"/>
    <x v="49"/>
    <x v="4"/>
    <x v="4"/>
    <x v="25"/>
    <x v="1"/>
    <x v="2"/>
    <s v="Walter Muller"/>
    <s v="Berlin"/>
    <x v="27"/>
    <s v="Low Quantity"/>
  </r>
  <r>
    <n v="10697"/>
    <x v="49"/>
    <x v="0"/>
    <x v="0"/>
    <x v="7"/>
    <x v="1"/>
    <x v="2"/>
    <s v="Walter Muller"/>
    <s v="Berlin"/>
    <x v="7"/>
    <s v="High Quantity"/>
  </r>
  <r>
    <n v="10698"/>
    <x v="49"/>
    <x v="1"/>
    <x v="1"/>
    <x v="6"/>
    <x v="1"/>
    <x v="2"/>
    <s v="Walter Muller"/>
    <s v="Berlin"/>
    <x v="6"/>
    <s v="High Quantity"/>
  </r>
  <r>
    <n v="10699"/>
    <x v="49"/>
    <x v="2"/>
    <x v="2"/>
    <x v="2"/>
    <x v="1"/>
    <x v="2"/>
    <s v="Walter Muller"/>
    <s v="Berlin"/>
    <x v="2"/>
    <s v="Low Quantity"/>
  </r>
  <r>
    <n v="10700"/>
    <x v="50"/>
    <x v="3"/>
    <x v="3"/>
    <x v="24"/>
    <x v="1"/>
    <x v="2"/>
    <s v="Walter Muller"/>
    <s v="Berlin"/>
    <x v="26"/>
    <s v="High Quantity"/>
  </r>
  <r>
    <n v="10701"/>
    <x v="50"/>
    <x v="4"/>
    <x v="4"/>
    <x v="25"/>
    <x v="1"/>
    <x v="2"/>
    <s v="Walter Muller"/>
    <s v="Berlin"/>
    <x v="27"/>
    <s v="Low Quantity"/>
  </r>
  <r>
    <n v="10702"/>
    <x v="50"/>
    <x v="0"/>
    <x v="0"/>
    <x v="7"/>
    <x v="1"/>
    <x v="2"/>
    <s v="Walter Muller"/>
    <s v="Berlin"/>
    <x v="7"/>
    <s v="High Quantity"/>
  </r>
  <r>
    <n v="10703"/>
    <x v="50"/>
    <x v="1"/>
    <x v="1"/>
    <x v="6"/>
    <x v="1"/>
    <x v="0"/>
    <s v="Walter Muller"/>
    <s v="Berlin"/>
    <x v="6"/>
    <s v="High Quantity"/>
  </r>
  <r>
    <n v="10704"/>
    <x v="50"/>
    <x v="2"/>
    <x v="2"/>
    <x v="2"/>
    <x v="2"/>
    <x v="0"/>
    <s v="Walter Muller"/>
    <s v="Berlin"/>
    <x v="2"/>
    <s v="Low Quantity"/>
  </r>
  <r>
    <n v="10705"/>
    <x v="51"/>
    <x v="3"/>
    <x v="3"/>
    <x v="26"/>
    <x v="2"/>
    <x v="0"/>
    <s v="Walter Muller"/>
    <s v="Berlin"/>
    <x v="28"/>
    <s v="High Quantity"/>
  </r>
  <r>
    <n v="10706"/>
    <x v="51"/>
    <x v="4"/>
    <x v="4"/>
    <x v="27"/>
    <x v="2"/>
    <x v="0"/>
    <s v="Walter Muller"/>
    <s v="Berlin"/>
    <x v="29"/>
    <s v="Low Quantity"/>
  </r>
  <r>
    <n v="10707"/>
    <x v="51"/>
    <x v="0"/>
    <x v="0"/>
    <x v="7"/>
    <x v="2"/>
    <x v="0"/>
    <s v="Walter Muller"/>
    <s v="Berlin"/>
    <x v="7"/>
    <s v="High Quantity"/>
  </r>
  <r>
    <n v="10708"/>
    <x v="51"/>
    <x v="1"/>
    <x v="1"/>
    <x v="6"/>
    <x v="2"/>
    <x v="0"/>
    <s v="Walter Muller"/>
    <s v="Berlin"/>
    <x v="6"/>
    <s v="High Quantity"/>
  </r>
  <r>
    <n v="10709"/>
    <x v="51"/>
    <x v="2"/>
    <x v="2"/>
    <x v="2"/>
    <x v="2"/>
    <x v="0"/>
    <s v="Walter Muller"/>
    <s v="Berlin"/>
    <x v="2"/>
    <s v="Low Quantity"/>
  </r>
  <r>
    <n v="10710"/>
    <x v="52"/>
    <x v="3"/>
    <x v="3"/>
    <x v="28"/>
    <x v="2"/>
    <x v="0"/>
    <s v="Walter Muller"/>
    <s v="Berlin"/>
    <x v="30"/>
    <s v="High Quantity"/>
  </r>
  <r>
    <n v="10711"/>
    <x v="52"/>
    <x v="4"/>
    <x v="4"/>
    <x v="25"/>
    <x v="2"/>
    <x v="0"/>
    <s v="Walter Muller"/>
    <s v="Berlin"/>
    <x v="27"/>
    <s v="Low Quantity"/>
  </r>
  <r>
    <n v="10712"/>
    <x v="52"/>
    <x v="0"/>
    <x v="0"/>
    <x v="7"/>
    <x v="2"/>
    <x v="0"/>
    <s v="Walter Muller"/>
    <s v="Berlin"/>
    <x v="7"/>
    <s v="High Quantity"/>
  </r>
  <r>
    <n v="10713"/>
    <x v="52"/>
    <x v="1"/>
    <x v="1"/>
    <x v="6"/>
    <x v="2"/>
    <x v="0"/>
    <s v="Walter Muller"/>
    <s v="Berlin"/>
    <x v="6"/>
    <s v="High Quantit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0452"/>
    <d v="2022-11-07T00:00:00"/>
    <x v="0"/>
    <n v="3.49"/>
    <n v="573.07000000000005"/>
    <s v="Online "/>
    <s v=" Gift Card"/>
    <s v="Tom Jackson"/>
    <x v="0"/>
    <n v="2000.0143000000003"/>
    <s v="High Quantity"/>
    <x v="0"/>
  </r>
  <r>
    <n v="10453"/>
    <d v="2022-11-07T00:00:00"/>
    <x v="1"/>
    <n v="2.95"/>
    <n v="745.76"/>
    <s v="Online "/>
    <s v=" Gift Card"/>
    <s v="Pablo Perez"/>
    <x v="1"/>
    <n v="2199.9920000000002"/>
    <s v="High Quantity"/>
    <x v="0"/>
  </r>
  <r>
    <n v="10454"/>
    <d v="2022-11-07T00:00:00"/>
    <x v="2"/>
    <n v="4.99"/>
    <n v="200.4"/>
    <s v="In-store "/>
    <s v=" Gift Card"/>
    <s v="Joao Silva"/>
    <x v="2"/>
    <n v="999.99600000000009"/>
    <s v="Low Quantity"/>
    <x v="0"/>
  </r>
  <r>
    <n v="10455"/>
    <d v="2022-11-08T00:00:00"/>
    <x v="3"/>
    <n v="12.99"/>
    <n v="569.66999999999996"/>
    <s v="In-store "/>
    <s v=" Credit Card"/>
    <s v="Walter Muller"/>
    <x v="3"/>
    <n v="7400.0132999999996"/>
    <s v="High Quantity"/>
    <x v="0"/>
  </r>
  <r>
    <n v="10456"/>
    <d v="2022-11-08T00:00:00"/>
    <x v="4"/>
    <n v="9.9499999999999993"/>
    <n v="201.01"/>
    <s v="In-store "/>
    <s v=" Credit Card"/>
    <s v="Walter Muller"/>
    <x v="3"/>
    <n v="2000.0494999999999"/>
    <s v="Low Quantity"/>
    <x v="0"/>
  </r>
  <r>
    <n v="10457"/>
    <d v="2022-11-08T00:00:00"/>
    <x v="0"/>
    <n v="3.49"/>
    <n v="573.07000000000005"/>
    <s v="In-store "/>
    <s v=" Credit Card"/>
    <s v="Remy Monet"/>
    <x v="4"/>
    <n v="2000.0143000000003"/>
    <s v="High Quantity"/>
    <x v="0"/>
  </r>
  <r>
    <n v="10459"/>
    <d v="2022-11-08T00:00:00"/>
    <x v="2"/>
    <n v="4.99"/>
    <n v="200.4"/>
    <s v="In-store "/>
    <s v=" Credit Card"/>
    <s v="Walter Muller"/>
    <x v="3"/>
    <n v="999.99600000000009"/>
    <s v="Low Quantity"/>
    <x v="0"/>
  </r>
  <r>
    <n v="10460"/>
    <d v="2022-11-09T00:00:00"/>
    <x v="3"/>
    <n v="12.99"/>
    <n v="554.27"/>
    <s v="In-store "/>
    <s v=" Credit Card"/>
    <s v="Remy Monet"/>
    <x v="4"/>
    <n v="7199.9673000000003"/>
    <s v="High Quantity"/>
    <x v="0"/>
  </r>
  <r>
    <n v="10461"/>
    <d v="2022-11-09T00:00:00"/>
    <x v="4"/>
    <n v="9.9499999999999993"/>
    <n v="201.01"/>
    <s v="In-store "/>
    <s v=" Credit Card"/>
    <s v="Remy Monet"/>
    <x v="4"/>
    <n v="2000.0494999999999"/>
    <s v="Low Quantity"/>
    <x v="0"/>
  </r>
  <r>
    <n v="10462"/>
    <d v="2022-11-09T00:00:00"/>
    <x v="0"/>
    <n v="3.49"/>
    <n v="573.07000000000005"/>
    <s v="In-store "/>
    <s v=" Credit Card"/>
    <s v="Remy Monet"/>
    <x v="4"/>
    <n v="2000.0143000000003"/>
    <s v="High Quantity"/>
    <x v="0"/>
  </r>
  <r>
    <n v="10463"/>
    <d v="2022-11-09T00:00:00"/>
    <x v="1"/>
    <n v="2.95"/>
    <n v="677.97"/>
    <s v="In-store "/>
    <s v=" Credit Card"/>
    <s v="Remy Monet"/>
    <x v="4"/>
    <n v="2000.0115000000003"/>
    <s v="High Quantity"/>
    <x v="0"/>
  </r>
  <r>
    <n v="10464"/>
    <d v="2022-11-09T00:00:00"/>
    <x v="2"/>
    <n v="4.99"/>
    <n v="200.4"/>
    <s v="In-store "/>
    <s v=" Credit Card"/>
    <s v="Remy Monet"/>
    <x v="4"/>
    <n v="999.99600000000009"/>
    <s v="Low Quantity"/>
    <x v="0"/>
  </r>
  <r>
    <n v="10465"/>
    <d v="2022-11-10T00:00:00"/>
    <x v="3"/>
    <n v="12.99"/>
    <n v="554.27"/>
    <s v="In-store "/>
    <s v=" Credit Card"/>
    <s v="Pablo Perez"/>
    <x v="1"/>
    <n v="7199.9673000000003"/>
    <s v="High Quantity"/>
    <x v="0"/>
  </r>
  <r>
    <n v="10466"/>
    <d v="2022-11-10T00:00:00"/>
    <x v="4"/>
    <n v="9.9499999999999993"/>
    <n v="201.01"/>
    <s v="In-store "/>
    <s v=" Credit Card"/>
    <s v="Pablo Perez"/>
    <x v="1"/>
    <n v="2000.0494999999999"/>
    <s v="Low Quantity"/>
    <x v="0"/>
  </r>
  <r>
    <n v="10467"/>
    <d v="2022-11-10T00:00:00"/>
    <x v="0"/>
    <n v="3.49"/>
    <n v="573.07000000000005"/>
    <s v="In-store "/>
    <s v=" Credit Card"/>
    <s v="Pablo Perez"/>
    <x v="1"/>
    <n v="2000.0143000000003"/>
    <s v="High Quantity"/>
    <x v="0"/>
  </r>
  <r>
    <n v="10468"/>
    <d v="2022-11-10T00:00:00"/>
    <x v="1"/>
    <n v="2.95"/>
    <n v="677.97"/>
    <s v="In-store "/>
    <s v=" Credit Card"/>
    <s v="Pablo Perez"/>
    <x v="1"/>
    <n v="2000.0115000000003"/>
    <s v="High Quantity"/>
    <x v="0"/>
  </r>
  <r>
    <n v="10470"/>
    <d v="2022-11-11T00:00:00"/>
    <x v="3"/>
    <n v="12.99"/>
    <n v="554.27"/>
    <s v="In-store "/>
    <s v=" Credit Card"/>
    <s v="Pablo Perez"/>
    <x v="1"/>
    <n v="7199.9673000000003"/>
    <s v="High Quantity"/>
    <x v="0"/>
  </r>
  <r>
    <n v="10471"/>
    <d v="2022-11-11T00:00:00"/>
    <x v="4"/>
    <n v="9.9499999999999993"/>
    <n v="201.01"/>
    <s v="In-store "/>
    <s v=" Credit Card"/>
    <s v="Pablo Perez"/>
    <x v="1"/>
    <n v="2000.0494999999999"/>
    <s v="Low Quantity"/>
    <x v="0"/>
  </r>
  <r>
    <n v="10472"/>
    <d v="2022-11-11T00:00:00"/>
    <x v="0"/>
    <n v="3.49"/>
    <n v="630.37"/>
    <s v="In-store "/>
    <s v=" Credit Card"/>
    <s v="Pablo Perez"/>
    <x v="1"/>
    <n v="2199.9913000000001"/>
    <s v="High Quantity"/>
    <x v="0"/>
  </r>
  <r>
    <n v="10473"/>
    <d v="2022-11-11T00:00:00"/>
    <x v="1"/>
    <n v="2.95"/>
    <n v="677.97"/>
    <s v="In-store "/>
    <s v=" Credit Card"/>
    <s v="Pablo Perez"/>
    <x v="1"/>
    <n v="2000.0115000000003"/>
    <s v="High Quantity"/>
    <x v="0"/>
  </r>
  <r>
    <n v="10474"/>
    <d v="2022-11-11T00:00:00"/>
    <x v="2"/>
    <n v="4.99"/>
    <n v="200.4"/>
    <s v="In-store "/>
    <s v=" Credit Card"/>
    <s v="Pablo Perez"/>
    <x v="1"/>
    <n v="999.99600000000009"/>
    <s v="Low Quantity"/>
    <x v="0"/>
  </r>
  <r>
    <n v="10475"/>
    <d v="2022-11-12T00:00:00"/>
    <x v="3"/>
    <n v="12.99"/>
    <n v="523.48"/>
    <s v="In-store "/>
    <s v=" Credit Card"/>
    <s v="Pablo Perez"/>
    <x v="1"/>
    <n v="6800.0052000000005"/>
    <s v="High Quantity"/>
    <x v="0"/>
  </r>
  <r>
    <n v="10476"/>
    <d v="2022-11-12T00:00:00"/>
    <x v="4"/>
    <n v="9.9499999999999993"/>
    <n v="201.01"/>
    <s v="In-store "/>
    <s v=" Credit Card"/>
    <s v="Pablo Perez"/>
    <x v="1"/>
    <n v="2000.0494999999999"/>
    <s v="Low Quantity"/>
    <x v="0"/>
  </r>
  <r>
    <n v="10477"/>
    <d v="2022-11-12T00:00:00"/>
    <x v="0"/>
    <n v="3.49"/>
    <n v="630.37"/>
    <s v="In-store "/>
    <s v=" Credit Card"/>
    <s v="Pablo Perez"/>
    <x v="1"/>
    <n v="2199.9913000000001"/>
    <s v="High Quantity"/>
    <x v="0"/>
  </r>
  <r>
    <n v="10478"/>
    <d v="2022-11-12T00:00:00"/>
    <x v="1"/>
    <n v="2.95"/>
    <n v="677.97"/>
    <s v="In-store "/>
    <s v=" Credit Card"/>
    <s v="Pablo Perez"/>
    <x v="1"/>
    <n v="2000.0115000000003"/>
    <s v="High Quantity"/>
    <x v="0"/>
  </r>
  <r>
    <n v="10479"/>
    <d v="2022-11-12T00:00:00"/>
    <x v="2"/>
    <n v="4.99"/>
    <n v="200.4"/>
    <s v="In-store "/>
    <s v=" Credit Card"/>
    <s v="Pablo Perez"/>
    <x v="1"/>
    <n v="999.99600000000009"/>
    <s v="Low Quantity"/>
    <x v="0"/>
  </r>
  <r>
    <n v="10480"/>
    <d v="2022-11-13T00:00:00"/>
    <x v="3"/>
    <n v="12.99"/>
    <n v="508.08"/>
    <s v="In-store "/>
    <s v=" Credit Card"/>
    <s v="Pablo Perez"/>
    <x v="1"/>
    <n v="6599.9592000000002"/>
    <s v="High Quantity"/>
    <x v="0"/>
  </r>
  <r>
    <n v="10481"/>
    <d v="2022-11-13T00:00:00"/>
    <x v="4"/>
    <n v="9.9499999999999993"/>
    <n v="201.01"/>
    <s v="In-store "/>
    <s v=" Credit Card"/>
    <s v="Pablo Perez"/>
    <x v="1"/>
    <n v="2000.0494999999999"/>
    <s v="Low Quantity"/>
    <x v="0"/>
  </r>
  <r>
    <n v="10482"/>
    <d v="2022-11-13T00:00:00"/>
    <x v="0"/>
    <n v="25.5"/>
    <n v="630.37"/>
    <s v="In-store "/>
    <s v=" Credit Card"/>
    <s v="Joao Silva"/>
    <x v="2"/>
    <n v="16074.434999999999"/>
    <s v="High Quantity"/>
    <x v="0"/>
  </r>
  <r>
    <n v="10486"/>
    <d v="2022-11-14T00:00:00"/>
    <x v="4"/>
    <n v="29.05"/>
    <n v="201.01"/>
    <s v="In-store "/>
    <s v=" Credit Card"/>
    <s v="Joao Silva"/>
    <x v="2"/>
    <n v="5839.3405000000002"/>
    <s v="Low Quantity"/>
    <x v="0"/>
  </r>
  <r>
    <n v="10487"/>
    <d v="2022-11-14T00:00:00"/>
    <x v="0"/>
    <n v="3.49"/>
    <n v="630.37"/>
    <s v="In-store "/>
    <s v=" Credit Card"/>
    <s v="Joao Silva"/>
    <x v="2"/>
    <n v="2199.9913000000001"/>
    <s v="High Quantity"/>
    <x v="0"/>
  </r>
  <r>
    <n v="10488"/>
    <d v="2022-11-14T00:00:00"/>
    <x v="1"/>
    <n v="2.95"/>
    <n v="677.97"/>
    <s v="In-store "/>
    <s v=" Credit Card"/>
    <s v="Joao Silva"/>
    <x v="2"/>
    <n v="2000.0115000000003"/>
    <s v="High Quantity"/>
    <x v="0"/>
  </r>
  <r>
    <n v="10489"/>
    <d v="2022-11-14T00:00:00"/>
    <x v="2"/>
    <n v="4.99"/>
    <n v="200.4"/>
    <s v="In-store "/>
    <s v=" Credit Card"/>
    <s v="Pablo Perez"/>
    <x v="1"/>
    <n v="999.99600000000009"/>
    <s v="Low Quantity"/>
    <x v="0"/>
  </r>
  <r>
    <n v="10490"/>
    <d v="2022-11-15T00:00:00"/>
    <x v="3"/>
    <n v="12.99"/>
    <n v="508.08"/>
    <s v="In-store "/>
    <s v=" Credit Card"/>
    <s v="Pablo Perez"/>
    <x v="1"/>
    <n v="6599.9592000000002"/>
    <s v="High Quantity"/>
    <x v="0"/>
  </r>
  <r>
    <n v="10491"/>
    <d v="2022-11-15T00:00:00"/>
    <x v="4"/>
    <n v="9.9499999999999993"/>
    <n v="201.01"/>
    <s v="In-store "/>
    <s v=" Credit Card"/>
    <s v="Pablo Perez"/>
    <x v="1"/>
    <n v="2000.0494999999999"/>
    <s v="Low Quantity"/>
    <x v="0"/>
  </r>
  <r>
    <n v="10492"/>
    <d v="2022-11-15T00:00:00"/>
    <x v="0"/>
    <n v="3.49"/>
    <n v="573.07000000000005"/>
    <s v="In-store "/>
    <s v=" Credit Card"/>
    <s v="Pablo Perez"/>
    <x v="1"/>
    <n v="2000.0143000000003"/>
    <s v="High Quantity"/>
    <x v="0"/>
  </r>
  <r>
    <n v="10493"/>
    <d v="2022-11-15T00:00:00"/>
    <x v="1"/>
    <n v="2.95"/>
    <n v="677.97"/>
    <s v="In-store "/>
    <s v=" Credit Card"/>
    <s v="Pablo Perez"/>
    <x v="1"/>
    <n v="2000.0115000000003"/>
    <s v="High Quantity"/>
    <x v="0"/>
  </r>
  <r>
    <n v="10494"/>
    <d v="2022-11-15T00:00:00"/>
    <x v="2"/>
    <n v="4.99"/>
    <n v="200.4"/>
    <s v="In-store "/>
    <s v=" Credit Card"/>
    <s v="Pablo Perez"/>
    <x v="1"/>
    <n v="999.99600000000009"/>
    <s v="Low Quantity"/>
    <x v="0"/>
  </r>
  <r>
    <n v="10495"/>
    <d v="2022-11-16T00:00:00"/>
    <x v="3"/>
    <n v="12.99"/>
    <n v="508.08"/>
    <s v="In-store "/>
    <s v=" Credit Card"/>
    <s v="Pablo Perez"/>
    <x v="1"/>
    <n v="6599.9592000000002"/>
    <s v="High Quantity"/>
    <x v="0"/>
  </r>
  <r>
    <n v="10496"/>
    <d v="2022-11-16T00:00:00"/>
    <x v="4"/>
    <n v="9.9499999999999993"/>
    <n v="201.01"/>
    <s v="In-store "/>
    <s v=" Credit Card"/>
    <s v="Pablo Perez"/>
    <x v="1"/>
    <n v="2000.0494999999999"/>
    <s v="Low Quantity"/>
    <x v="0"/>
  </r>
  <r>
    <n v="10497"/>
    <d v="2022-11-16T00:00:00"/>
    <x v="0"/>
    <n v="3.49"/>
    <n v="573.07000000000005"/>
    <s v="In-store "/>
    <s v=" Credit Card"/>
    <s v="Pablo Perez"/>
    <x v="1"/>
    <n v="2000.0143000000003"/>
    <s v="High Quantity"/>
    <x v="0"/>
  </r>
  <r>
    <n v="10498"/>
    <d v="2022-11-16T00:00:00"/>
    <x v="1"/>
    <n v="2.95"/>
    <n v="677.97"/>
    <s v="Drive-thru "/>
    <s v=" Credit Card"/>
    <s v="Pablo Perez"/>
    <x v="1"/>
    <n v="2000.0115000000003"/>
    <s v="High Quantity"/>
    <x v="0"/>
  </r>
  <r>
    <n v="10499"/>
    <d v="2022-11-16T00:00:00"/>
    <x v="2"/>
    <n v="4.99"/>
    <n v="200.4"/>
    <s v="Drive-thru "/>
    <s v=" Credit Card"/>
    <s v="Pablo Perez"/>
    <x v="1"/>
    <n v="999.99600000000009"/>
    <s v="Low Quantity"/>
    <x v="0"/>
  </r>
  <r>
    <n v="10500"/>
    <d v="2022-11-17T00:00:00"/>
    <x v="3"/>
    <n v="12.99"/>
    <n v="523.48"/>
    <s v="Drive-thru "/>
    <s v=" Credit Card"/>
    <s v="Pablo Perez"/>
    <x v="1"/>
    <n v="6800.0052000000005"/>
    <s v="High Quantity"/>
    <x v="0"/>
  </r>
  <r>
    <n v="10501"/>
    <d v="2022-11-17T00:00:00"/>
    <x v="4"/>
    <n v="9.9499999999999993"/>
    <n v="201.01"/>
    <s v="Drive-thru "/>
    <s v=" Credit Card"/>
    <s v="Pablo Perez"/>
    <x v="1"/>
    <n v="2000.0494999999999"/>
    <s v="Low Quantity"/>
    <x v="0"/>
  </r>
  <r>
    <n v="10502"/>
    <d v="2022-11-17T00:00:00"/>
    <x v="0"/>
    <n v="3.49"/>
    <n v="630.37"/>
    <s v="Drive-thru "/>
    <s v=" Credit Card"/>
    <s v="Pablo Perez"/>
    <x v="1"/>
    <n v="2199.9913000000001"/>
    <s v="High Quantity"/>
    <x v="0"/>
  </r>
  <r>
    <n v="10503"/>
    <d v="2022-11-17T00:00:00"/>
    <x v="1"/>
    <n v="2.95"/>
    <n v="677.97"/>
    <s v="Drive-thru "/>
    <s v=" Credit Card"/>
    <s v="Pablo Perez"/>
    <x v="1"/>
    <n v="2000.0115000000003"/>
    <s v="High Quantity"/>
    <x v="0"/>
  </r>
  <r>
    <n v="10504"/>
    <d v="2022-11-17T00:00:00"/>
    <x v="2"/>
    <n v="4.99"/>
    <n v="200.4"/>
    <s v="Drive-thru "/>
    <s v=" Credit Card"/>
    <s v="Pablo Perez"/>
    <x v="1"/>
    <n v="999.99600000000009"/>
    <s v="Low Quantity"/>
    <x v="0"/>
  </r>
  <r>
    <n v="10505"/>
    <d v="2022-11-18T00:00:00"/>
    <x v="3"/>
    <n v="12.99"/>
    <n v="538.88"/>
    <s v="Drive-thru "/>
    <s v=" Credit Card"/>
    <s v="Pablo Perez"/>
    <x v="1"/>
    <n v="7000.0511999999999"/>
    <s v="High Quantity"/>
    <x v="0"/>
  </r>
  <r>
    <n v="10506"/>
    <d v="2022-11-18T00:00:00"/>
    <x v="4"/>
    <n v="9.9499999999999993"/>
    <n v="201.01"/>
    <s v="Drive-thru "/>
    <s v=" Credit Card"/>
    <s v="Pablo Perez"/>
    <x v="1"/>
    <n v="2000.0494999999999"/>
    <s v="Low Quantity"/>
    <x v="0"/>
  </r>
  <r>
    <n v="10507"/>
    <d v="2022-11-18T00:00:00"/>
    <x v="0"/>
    <n v="3.49"/>
    <n v="687.68"/>
    <s v="Drive-thru "/>
    <s v=" Credit Card"/>
    <s v="Pablo Perez"/>
    <x v="1"/>
    <n v="2400.0032000000001"/>
    <s v="High Quantity"/>
    <x v="0"/>
  </r>
  <r>
    <n v="10508"/>
    <d v="2022-11-18T00:00:00"/>
    <x v="1"/>
    <n v="2.95"/>
    <n v="677.97"/>
    <s v="Drive-thru "/>
    <s v=" Credit Card"/>
    <s v="Pablo Perez"/>
    <x v="1"/>
    <n v="2000.0115000000003"/>
    <s v="High Quantity"/>
    <x v="0"/>
  </r>
  <r>
    <n v="10509"/>
    <d v="2022-11-18T00:00:00"/>
    <x v="2"/>
    <n v="4.99"/>
    <n v="200.4"/>
    <s v="Drive-thru "/>
    <s v=" Credit Card"/>
    <s v="Pablo Perez"/>
    <x v="1"/>
    <n v="999.99600000000009"/>
    <s v="Low Quantity"/>
    <x v="0"/>
  </r>
  <r>
    <n v="10510"/>
    <d v="2022-11-19T00:00:00"/>
    <x v="3"/>
    <n v="12.99"/>
    <n v="508.08"/>
    <s v="Drive-thru "/>
    <s v=" Credit Card"/>
    <s v="Pablo Perez"/>
    <x v="1"/>
    <n v="6599.9592000000002"/>
    <s v="High Quantity"/>
    <x v="0"/>
  </r>
  <r>
    <n v="10511"/>
    <d v="2022-11-19T00:00:00"/>
    <x v="4"/>
    <n v="9.9499999999999993"/>
    <n v="201.01"/>
    <s v="Drive-thru "/>
    <s v=" Credit Card"/>
    <s v="Joao Silva"/>
    <x v="2"/>
    <n v="2000.0494999999999"/>
    <s v="Low Quantity"/>
    <x v="0"/>
  </r>
  <r>
    <n v="10512"/>
    <d v="2022-11-19T00:00:00"/>
    <x v="0"/>
    <n v="3.49"/>
    <n v="687.68"/>
    <s v="Drive-thru "/>
    <s v=" Credit Card"/>
    <s v="Joao Silva"/>
    <x v="2"/>
    <n v="2400.0032000000001"/>
    <s v="High Quantity"/>
    <x v="0"/>
  </r>
  <r>
    <n v="10513"/>
    <d v="2022-11-19T00:00:00"/>
    <x v="1"/>
    <n v="2.95"/>
    <n v="677.97"/>
    <s v="Drive-thru "/>
    <s v=" Cash"/>
    <s v="Joao Silva"/>
    <x v="2"/>
    <n v="2000.0115000000003"/>
    <s v="High Quantity"/>
    <x v="0"/>
  </r>
  <r>
    <n v="10514"/>
    <d v="2022-11-19T00:00:00"/>
    <x v="2"/>
    <n v="4.99"/>
    <n v="200.4"/>
    <s v="Drive-thru "/>
    <s v=" Cash"/>
    <s v="Joao Silva"/>
    <x v="2"/>
    <n v="999.99600000000009"/>
    <s v="Low Quantity"/>
    <x v="0"/>
  </r>
  <r>
    <n v="10515"/>
    <d v="2022-11-20T00:00:00"/>
    <x v="3"/>
    <n v="12.99"/>
    <n v="477.29"/>
    <s v="Drive-thru "/>
    <s v=" Cash"/>
    <s v="Joao Silva"/>
    <x v="2"/>
    <n v="6199.9971000000005"/>
    <s v="Low Quantity"/>
    <x v="0"/>
  </r>
  <r>
    <n v="10516"/>
    <d v="2022-11-20T00:00:00"/>
    <x v="4"/>
    <n v="9.9499999999999993"/>
    <n v="201.01"/>
    <s v="Drive-thru "/>
    <s v=" Cash"/>
    <s v="Joao Silva"/>
    <x v="2"/>
    <n v="2000.0494999999999"/>
    <s v="Low Quantity"/>
    <x v="0"/>
  </r>
  <r>
    <n v="10483"/>
    <d v="2022-11-13T00:00:00"/>
    <x v="1"/>
    <n v="2.95"/>
    <n v="677.97"/>
    <s v="In-store "/>
    <s v=" Credit Card"/>
    <s v="Joao Silva"/>
    <x v="2"/>
    <n v="2000.0115000000003"/>
    <s v="High Quantity"/>
    <x v="0"/>
  </r>
  <r>
    <n v="10484"/>
    <d v="2022-11-13T00:00:00"/>
    <x v="2"/>
    <n v="4.99"/>
    <n v="200.4"/>
    <s v="In-store "/>
    <s v=" Credit Card"/>
    <s v="Joao Silva"/>
    <x v="2"/>
    <n v="999.99600000000009"/>
    <s v="Low Quantity"/>
    <x v="0"/>
  </r>
  <r>
    <n v="10485"/>
    <d v="2022-11-14T00:00:00"/>
    <x v="3"/>
    <n v="12.99"/>
    <n v="523.48"/>
    <s v="In-store "/>
    <s v=" Credit Card"/>
    <s v="Joao Silva"/>
    <x v="2"/>
    <n v="6800.0052000000005"/>
    <s v="High Quantity"/>
    <x v="0"/>
  </r>
  <r>
    <n v="10520"/>
    <d v="2022-11-21T00:00:00"/>
    <x v="3"/>
    <n v="12.99"/>
    <n v="492.69"/>
    <s v="Drive-thru "/>
    <s v=" Cash"/>
    <s v="Remy Monet"/>
    <x v="4"/>
    <n v="6400.0430999999999"/>
    <s v="Low Quantity"/>
    <x v="0"/>
  </r>
  <r>
    <n v="10521"/>
    <d v="2022-11-21T00:00:00"/>
    <x v="4"/>
    <n v="9.9499999999999993"/>
    <n v="201.01"/>
    <s v="Drive-thru "/>
    <s v=" Cash"/>
    <s v="Remy Monet"/>
    <x v="4"/>
    <n v="2000.0494999999999"/>
    <s v="Low Quantity"/>
    <x v="0"/>
  </r>
  <r>
    <n v="10522"/>
    <d v="2022-11-21T00:00:00"/>
    <x v="0"/>
    <n v="3.49"/>
    <n v="687.68"/>
    <s v="Drive-thru "/>
    <s v=" Cash"/>
    <s v="Remy Monet"/>
    <x v="4"/>
    <n v="2400.0032000000001"/>
    <s v="High Quantity"/>
    <x v="0"/>
  </r>
  <r>
    <n v="10523"/>
    <d v="2022-11-21T00:00:00"/>
    <x v="1"/>
    <n v="2.95"/>
    <n v="745.76"/>
    <s v="Drive-thru "/>
    <s v=" Cash"/>
    <s v="Remy Monet"/>
    <x v="4"/>
    <n v="2199.9920000000002"/>
    <s v="High Quantity"/>
    <x v="0"/>
  </r>
  <r>
    <n v="10524"/>
    <d v="2022-11-21T00:00:00"/>
    <x v="2"/>
    <n v="4.99"/>
    <n v="200.4"/>
    <s v="Drive-thru "/>
    <s v=" Cash"/>
    <s v="Remy Monet"/>
    <x v="4"/>
    <n v="999.99600000000009"/>
    <s v="Low Quantity"/>
    <x v="0"/>
  </r>
  <r>
    <n v="10525"/>
    <d v="2022-11-22T00:00:00"/>
    <x v="3"/>
    <n v="12.99"/>
    <n v="461.89"/>
    <s v="Drive-thru "/>
    <s v=" Cash"/>
    <s v="Remy Monet"/>
    <x v="4"/>
    <n v="5999.9511000000002"/>
    <s v="Low Quantity"/>
    <x v="0"/>
  </r>
  <r>
    <n v="10526"/>
    <d v="2022-11-22T00:00:00"/>
    <x v="4"/>
    <n v="9.9499999999999993"/>
    <n v="201.01"/>
    <s v="Drive-thru "/>
    <s v=" Cash"/>
    <s v="Remy Monet"/>
    <x v="4"/>
    <n v="2000.0494999999999"/>
    <s v="Low Quantity"/>
    <x v="0"/>
  </r>
  <r>
    <n v="10527"/>
    <d v="2022-11-22T00:00:00"/>
    <x v="0"/>
    <n v="3.49"/>
    <n v="687.68"/>
    <s v="Drive-thru "/>
    <s v=" Cash"/>
    <s v="Remy Monet"/>
    <x v="4"/>
    <n v="2400.0032000000001"/>
    <s v="High Quantity"/>
    <x v="0"/>
  </r>
  <r>
    <n v="10528"/>
    <d v="2022-11-22T00:00:00"/>
    <x v="1"/>
    <n v="2.95"/>
    <n v="745.76"/>
    <s v="Drive-thru "/>
    <s v=" Cash"/>
    <s v="Remy Monet"/>
    <x v="4"/>
    <n v="2199.9920000000002"/>
    <s v="High Quantity"/>
    <x v="0"/>
  </r>
  <r>
    <n v="10529"/>
    <d v="2022-11-22T00:00:00"/>
    <x v="2"/>
    <n v="4.99"/>
    <n v="200.4"/>
    <s v="Drive-thru "/>
    <s v=" Cash"/>
    <s v="Remy Monet"/>
    <x v="4"/>
    <n v="999.99600000000009"/>
    <s v="Low Quantity"/>
    <x v="0"/>
  </r>
  <r>
    <n v="10530"/>
    <d v="2022-11-23T00:00:00"/>
    <x v="3"/>
    <n v="12.99"/>
    <n v="477.29"/>
    <s v="Drive-thru "/>
    <s v=" Cash"/>
    <s v="Remy Monet"/>
    <x v="4"/>
    <n v="6199.9971000000005"/>
    <s v="Low Quantity"/>
    <x v="0"/>
  </r>
  <r>
    <n v="10531"/>
    <d v="2022-11-23T00:00:00"/>
    <x v="4"/>
    <n v="9.9499999999999993"/>
    <n v="201.01"/>
    <s v="Drive-thru "/>
    <s v=" Cash"/>
    <s v="Remy Monet"/>
    <x v="4"/>
    <n v="2000.0494999999999"/>
    <s v="Low Quantity"/>
    <x v="0"/>
  </r>
  <r>
    <n v="10532"/>
    <d v="2022-11-23T00:00:00"/>
    <x v="0"/>
    <n v="3.49"/>
    <n v="687.68"/>
    <s v="Drive-thru "/>
    <s v=" Cash"/>
    <s v="Joao Silva"/>
    <x v="2"/>
    <n v="2400.0032000000001"/>
    <s v="High Quantity"/>
    <x v="0"/>
  </r>
  <r>
    <n v="10533"/>
    <d v="2022-11-23T00:00:00"/>
    <x v="1"/>
    <n v="2.95"/>
    <n v="745.76"/>
    <s v="Drive-thru "/>
    <s v=" Cash"/>
    <s v="Joao Silva"/>
    <x v="2"/>
    <n v="2199.9920000000002"/>
    <s v="High Quantity"/>
    <x v="0"/>
  </r>
  <r>
    <n v="10534"/>
    <d v="2022-11-23T00:00:00"/>
    <x v="2"/>
    <n v="4.99"/>
    <n v="200.4"/>
    <s v="Drive-thru "/>
    <s v=" Cash"/>
    <s v="Pablo Perez"/>
    <x v="1"/>
    <n v="999.99600000000009"/>
    <s v="Low Quantity"/>
    <x v="0"/>
  </r>
  <r>
    <n v="10535"/>
    <d v="2022-11-24T00:00:00"/>
    <x v="3"/>
    <n v="12.99"/>
    <n v="477.29"/>
    <s v="Drive-thru "/>
    <s v=" Credit Card"/>
    <s v="Pablo Perez"/>
    <x v="1"/>
    <n v="6199.9971000000005"/>
    <s v="Low Quantity"/>
    <x v="0"/>
  </r>
  <r>
    <n v="10536"/>
    <d v="2022-11-24T00:00:00"/>
    <x v="4"/>
    <n v="9.9499999999999993"/>
    <n v="201.01"/>
    <s v="Drive-thru "/>
    <s v=" Credit Card"/>
    <s v="Pablo Perez"/>
    <x v="1"/>
    <n v="2000.0494999999999"/>
    <s v="Low Quantity"/>
    <x v="0"/>
  </r>
  <r>
    <n v="10540"/>
    <d v="2022-11-25T00:00:00"/>
    <x v="3"/>
    <n v="12.99"/>
    <n v="461.89"/>
    <s v="Drive-thru "/>
    <s v=" Credit Card"/>
    <s v="Pablo Perez"/>
    <x v="1"/>
    <n v="5999.9511000000002"/>
    <s v="Low Quantity"/>
    <x v="0"/>
  </r>
  <r>
    <n v="10541"/>
    <d v="2022-11-25T00:00:00"/>
    <x v="4"/>
    <n v="9.9499999999999993"/>
    <n v="201.01"/>
    <s v="Drive-thru "/>
    <s v=" Credit Card"/>
    <s v="Tom Jackson"/>
    <x v="0"/>
    <n v="2000.0494999999999"/>
    <s v="Low Quantity"/>
    <x v="0"/>
  </r>
  <r>
    <n v="10542"/>
    <d v="2022-11-25T00:00:00"/>
    <x v="0"/>
    <n v="3.49"/>
    <n v="630.37"/>
    <s v="Drive-thru "/>
    <s v=" Credit Card"/>
    <s v="Tom Jackson"/>
    <x v="0"/>
    <n v="2199.9913000000001"/>
    <s v="High Quantity"/>
    <x v="0"/>
  </r>
  <r>
    <n v="10543"/>
    <d v="2022-11-25T00:00:00"/>
    <x v="1"/>
    <n v="2.95"/>
    <n v="745.76"/>
    <s v="Drive-thru "/>
    <s v=" Credit Card"/>
    <s v="Tom Jackson"/>
    <x v="0"/>
    <n v="2199.9920000000002"/>
    <s v="High Quantity"/>
    <x v="0"/>
  </r>
  <r>
    <n v="10544"/>
    <d v="2022-11-25T00:00:00"/>
    <x v="2"/>
    <n v="4.99"/>
    <n v="200.4"/>
    <s v="Drive-thru "/>
    <s v=" Credit Card"/>
    <s v="Tom Jackson"/>
    <x v="0"/>
    <n v="999.99600000000009"/>
    <s v="Low Quantity"/>
    <x v="0"/>
  </r>
  <r>
    <n v="10545"/>
    <d v="2022-11-26T00:00:00"/>
    <x v="3"/>
    <n v="12.99"/>
    <n v="446.5"/>
    <s v="Drive-thru "/>
    <s v=" Credit Card"/>
    <s v="Tom Jackson"/>
    <x v="0"/>
    <n v="5800.0349999999999"/>
    <s v="Low Quantity"/>
    <x v="0"/>
  </r>
  <r>
    <n v="10546"/>
    <d v="2022-11-26T00:00:00"/>
    <x v="4"/>
    <n v="9.9499999999999993"/>
    <n v="201.01"/>
    <s v="Drive-thru "/>
    <s v=" Credit Card"/>
    <s v="Tom Jackson"/>
    <x v="0"/>
    <n v="2000.0494999999999"/>
    <s v="Low Quantity"/>
    <x v="0"/>
  </r>
  <r>
    <n v="10547"/>
    <d v="2022-11-26T00:00:00"/>
    <x v="0"/>
    <n v="3.49"/>
    <n v="630.37"/>
    <s v="Drive-thru "/>
    <s v=" Credit Card"/>
    <s v="Tom Jackson"/>
    <x v="0"/>
    <n v="2199.9913000000001"/>
    <s v="High Quantity"/>
    <x v="0"/>
  </r>
  <r>
    <n v="10548"/>
    <d v="2022-11-26T00:00:00"/>
    <x v="1"/>
    <n v="2.95"/>
    <n v="745.76"/>
    <s v="Drive-thru "/>
    <s v=" Credit Card"/>
    <s v="Tom Jackson"/>
    <x v="0"/>
    <n v="2199.9920000000002"/>
    <s v="High Quantity"/>
    <x v="0"/>
  </r>
  <r>
    <n v="10549"/>
    <d v="2022-11-26T00:00:00"/>
    <x v="2"/>
    <n v="4.99"/>
    <n v="200.4"/>
    <s v="Drive-thru "/>
    <s v=" Credit Card"/>
    <s v="Tom Jackson"/>
    <x v="0"/>
    <n v="999.99600000000009"/>
    <s v="Low Quantity"/>
    <x v="0"/>
  </r>
  <r>
    <n v="10550"/>
    <d v="2022-11-27T00:00:00"/>
    <x v="3"/>
    <n v="12.99"/>
    <n v="461.89"/>
    <s v="Drive-thru "/>
    <s v=" Credit Card"/>
    <s v="Tom Jackson"/>
    <x v="0"/>
    <n v="5999.9511000000002"/>
    <s v="Low Quantity"/>
    <x v="0"/>
  </r>
  <r>
    <n v="10551"/>
    <d v="2022-11-27T00:00:00"/>
    <x v="4"/>
    <n v="9.9499999999999993"/>
    <n v="201.01"/>
    <s v="Drive-thru "/>
    <s v=" Credit Card"/>
    <s v="Tom Jackson"/>
    <x v="0"/>
    <n v="2000.0494999999999"/>
    <s v="Low Quantity"/>
    <x v="0"/>
  </r>
  <r>
    <n v="10552"/>
    <d v="2022-11-27T00:00:00"/>
    <x v="0"/>
    <n v="3.49"/>
    <n v="630.37"/>
    <s v="Online "/>
    <s v=" Credit Card"/>
    <s v="Tom Jackson"/>
    <x v="0"/>
    <n v="2199.9913000000001"/>
    <s v="High Quantity"/>
    <x v="0"/>
  </r>
  <r>
    <n v="10553"/>
    <d v="2022-11-27T00:00:00"/>
    <x v="1"/>
    <n v="2.95"/>
    <n v="745.76"/>
    <s v="Online "/>
    <s v=" Credit Card"/>
    <s v="Tom Jackson"/>
    <x v="0"/>
    <n v="2199.9920000000002"/>
    <s v="High Quantity"/>
    <x v="0"/>
  </r>
  <r>
    <n v="10554"/>
    <d v="2022-11-27T00:00:00"/>
    <x v="2"/>
    <n v="4.99"/>
    <n v="200.4"/>
    <s v="Online "/>
    <s v=" Credit Card"/>
    <s v="Tom Jackson"/>
    <x v="0"/>
    <n v="999.99600000000009"/>
    <s v="Low Quantity"/>
    <x v="0"/>
  </r>
  <r>
    <n v="10555"/>
    <d v="2022-11-28T00:00:00"/>
    <x v="3"/>
    <n v="12.99"/>
    <n v="477.29"/>
    <s v="Online "/>
    <s v=" Credit Card"/>
    <s v="Tom Jackson"/>
    <x v="0"/>
    <n v="6199.9971000000005"/>
    <s v="Low Quantity"/>
    <x v="0"/>
  </r>
  <r>
    <n v="10556"/>
    <d v="2022-11-28T00:00:00"/>
    <x v="4"/>
    <n v="9.9499999999999993"/>
    <n v="201.01"/>
    <s v="Online "/>
    <s v=" Credit Card"/>
    <s v="Tom Jackson"/>
    <x v="0"/>
    <n v="2000.0494999999999"/>
    <s v="Low Quantity"/>
    <x v="0"/>
  </r>
  <r>
    <n v="10557"/>
    <d v="2022-11-28T00:00:00"/>
    <x v="0"/>
    <n v="3.49"/>
    <n v="630.37"/>
    <s v="Online "/>
    <s v=" Credit Card"/>
    <s v="Tom Jackson"/>
    <x v="0"/>
    <n v="2199.9913000000001"/>
    <s v="High Quantity"/>
    <x v="0"/>
  </r>
  <r>
    <n v="10558"/>
    <d v="2022-11-28T00:00:00"/>
    <x v="1"/>
    <n v="2.95"/>
    <n v="677.97"/>
    <s v="Online "/>
    <s v=" Credit Card"/>
    <s v="Tom Jackson"/>
    <x v="0"/>
    <n v="2000.0115000000003"/>
    <s v="High Quantity"/>
    <x v="0"/>
  </r>
  <r>
    <n v="10559"/>
    <d v="2022-11-28T00:00:00"/>
    <x v="2"/>
    <n v="4.99"/>
    <n v="200.4"/>
    <s v="Online "/>
    <s v=" Credit Card"/>
    <s v="Tom Jackson"/>
    <x v="0"/>
    <n v="999.99600000000009"/>
    <s v="Low Quantity"/>
    <x v="0"/>
  </r>
  <r>
    <n v="10560"/>
    <d v="2022-11-29T00:00:00"/>
    <x v="3"/>
    <n v="12.99"/>
    <n v="477.29"/>
    <s v="Online "/>
    <s v=" Credit Card"/>
    <s v="Tom Jackson"/>
    <x v="0"/>
    <n v="6199.9971000000005"/>
    <s v="Low Quantity"/>
    <x v="0"/>
  </r>
  <r>
    <n v="10561"/>
    <d v="2022-11-29T00:00:00"/>
    <x v="4"/>
    <n v="9.9499999999999993"/>
    <n v="201.01"/>
    <s v="Online "/>
    <s v=" Credit Card"/>
    <s v="Tom Jackson"/>
    <x v="0"/>
    <n v="2000.0494999999999"/>
    <s v="Low Quantity"/>
    <x v="0"/>
  </r>
  <r>
    <n v="10562"/>
    <d v="2022-11-29T00:00:00"/>
    <x v="0"/>
    <n v="3.49"/>
    <n v="630.37"/>
    <s v="Online "/>
    <s v=" Credit Card"/>
    <s v="Tom Jackson"/>
    <x v="0"/>
    <n v="2199.9913000000001"/>
    <s v="High Quantity"/>
    <x v="0"/>
  </r>
  <r>
    <n v="10563"/>
    <d v="2022-11-29T00:00:00"/>
    <x v="1"/>
    <n v="2.95"/>
    <n v="677.97"/>
    <s v="Online "/>
    <s v=" Credit Card"/>
    <s v="Tom Jackson"/>
    <x v="0"/>
    <n v="2000.0115000000003"/>
    <s v="High Quantity"/>
    <x v="0"/>
  </r>
  <r>
    <n v="10564"/>
    <d v="2022-11-29T00:00:00"/>
    <x v="2"/>
    <n v="4.99"/>
    <n v="200.4"/>
    <s v="Online "/>
    <s v=" Credit Card"/>
    <s v="Tom Jackson"/>
    <x v="0"/>
    <n v="999.99600000000009"/>
    <s v="Low Quantity"/>
    <x v="0"/>
  </r>
  <r>
    <n v="10565"/>
    <d v="2022-11-30T00:00:00"/>
    <x v="3"/>
    <n v="12.99"/>
    <n v="492.69"/>
    <s v="Online "/>
    <s v=" Credit Card"/>
    <s v="Tom Jackson"/>
    <x v="0"/>
    <n v="6400.0430999999999"/>
    <s v="Low Quantity"/>
    <x v="0"/>
  </r>
  <r>
    <n v="10566"/>
    <d v="2022-11-30T00:00:00"/>
    <x v="4"/>
    <n v="9.9499999999999993"/>
    <n v="201.01"/>
    <s v="Online "/>
    <s v=" Credit Card"/>
    <s v="Tom Jackson"/>
    <x v="0"/>
    <n v="2000.0494999999999"/>
    <s v="Low Quantity"/>
    <x v="0"/>
  </r>
  <r>
    <n v="10567"/>
    <d v="2022-11-30T00:00:00"/>
    <x v="0"/>
    <n v="3.49"/>
    <n v="630.37"/>
    <s v="Online "/>
    <s v=" Credit Card"/>
    <s v="Tom Jackson"/>
    <x v="0"/>
    <n v="2199.9913000000001"/>
    <s v="High Quantity"/>
    <x v="0"/>
  </r>
  <r>
    <n v="10568"/>
    <d v="2022-11-30T00:00:00"/>
    <x v="1"/>
    <n v="2.95"/>
    <n v="677.97"/>
    <s v="Online "/>
    <s v=" Credit Card"/>
    <s v="Tom Jackson"/>
    <x v="0"/>
    <n v="2000.0115000000003"/>
    <s v="High Quantity"/>
    <x v="0"/>
  </r>
  <r>
    <n v="10569"/>
    <d v="2022-11-30T00:00:00"/>
    <x v="2"/>
    <n v="4.99"/>
    <n v="200.4"/>
    <s v="Online "/>
    <s v=" Credit Card"/>
    <s v="Tom Jackson"/>
    <x v="0"/>
    <n v="999.99600000000009"/>
    <s v="Low Quantity"/>
    <x v="0"/>
  </r>
  <r>
    <n v="10570"/>
    <d v="2022-12-01T00:00:00"/>
    <x v="3"/>
    <n v="12.99"/>
    <n v="492.69"/>
    <s v="Online "/>
    <s v=" Credit Card"/>
    <s v="Tom Jackson"/>
    <x v="0"/>
    <n v="6400.0430999999999"/>
    <s v="Low Quantity"/>
    <x v="1"/>
  </r>
  <r>
    <n v="10571"/>
    <d v="2022-12-01T00:00:00"/>
    <x v="4"/>
    <n v="9.9499999999999993"/>
    <n v="201.01"/>
    <s v="Online "/>
    <s v=" Credit Card"/>
    <s v="Tom Jackson"/>
    <x v="0"/>
    <n v="2000.0494999999999"/>
    <s v="Low Quantity"/>
    <x v="1"/>
  </r>
  <r>
    <n v="10572"/>
    <d v="2022-12-01T00:00:00"/>
    <x v="0"/>
    <n v="3.49"/>
    <n v="573.07000000000005"/>
    <s v="Online "/>
    <s v=" Credit Card"/>
    <s v="Remy Monet"/>
    <x v="4"/>
    <n v="2000.0143000000003"/>
    <s v="High Quantity"/>
    <x v="1"/>
  </r>
  <r>
    <n v="10573"/>
    <d v="2022-12-01T00:00:00"/>
    <x v="1"/>
    <n v="2.95"/>
    <n v="677.97"/>
    <s v="Online "/>
    <s v=" Credit Card"/>
    <s v="Remy Monet"/>
    <x v="4"/>
    <n v="2000.0115000000003"/>
    <s v="High Quantity"/>
    <x v="1"/>
  </r>
  <r>
    <n v="10574"/>
    <d v="2022-12-01T00:00:00"/>
    <x v="2"/>
    <n v="4.99"/>
    <n v="200.4"/>
    <s v="Online "/>
    <s v=" Credit Card"/>
    <s v="Remy Monet"/>
    <x v="4"/>
    <n v="999.99600000000009"/>
    <s v="Low Quantity"/>
    <x v="1"/>
  </r>
  <r>
    <n v="10575"/>
    <d v="2022-12-02T00:00:00"/>
    <x v="3"/>
    <n v="12.99"/>
    <n v="523.48"/>
    <s v="Online "/>
    <s v=" Credit Card"/>
    <s v="Remy Monet"/>
    <x v="4"/>
    <n v="6800.0052000000005"/>
    <s v="High Quantity"/>
    <x v="1"/>
  </r>
  <r>
    <n v="10576"/>
    <d v="2022-12-02T00:00:00"/>
    <x v="4"/>
    <n v="9.9499999999999993"/>
    <n v="201.01"/>
    <s v="Online "/>
    <s v=" Credit Card"/>
    <s v="Remy Monet"/>
    <x v="4"/>
    <n v="2000.0494999999999"/>
    <s v="Low Quantity"/>
    <x v="1"/>
  </r>
  <r>
    <n v="10577"/>
    <d v="2022-12-02T00:00:00"/>
    <x v="0"/>
    <n v="3.49"/>
    <n v="630.37"/>
    <s v="Online "/>
    <s v=" Credit Card"/>
    <s v="Remy Monet"/>
    <x v="4"/>
    <n v="2199.9913000000001"/>
    <s v="High Quantity"/>
    <x v="1"/>
  </r>
  <r>
    <n v="10578"/>
    <d v="2022-12-02T00:00:00"/>
    <x v="1"/>
    <n v="2.95"/>
    <n v="677.97"/>
    <s v="Online "/>
    <s v=" Credit Card"/>
    <s v="Remy Monet"/>
    <x v="4"/>
    <n v="2000.0115000000003"/>
    <s v="High Quantity"/>
    <x v="1"/>
  </r>
  <r>
    <n v="10579"/>
    <d v="2022-12-02T00:00:00"/>
    <x v="2"/>
    <n v="4.99"/>
    <n v="200.4"/>
    <s v="Online "/>
    <s v=" Credit Card"/>
    <s v="Remy Monet"/>
    <x v="4"/>
    <n v="999.99600000000009"/>
    <s v="Low Quantity"/>
    <x v="1"/>
  </r>
  <r>
    <n v="10580"/>
    <d v="2022-12-03T00:00:00"/>
    <x v="3"/>
    <n v="12.99"/>
    <n v="523.48"/>
    <s v="Online "/>
    <s v=" Credit Card"/>
    <s v="Remy Monet"/>
    <x v="4"/>
    <n v="6800.0052000000005"/>
    <s v="High Quantity"/>
    <x v="1"/>
  </r>
  <r>
    <n v="10581"/>
    <d v="2022-12-03T00:00:00"/>
    <x v="4"/>
    <n v="9.9499999999999993"/>
    <n v="201.01"/>
    <s v="Online "/>
    <s v=" Credit Card"/>
    <s v="Remy Monet"/>
    <x v="4"/>
    <n v="2000.0494999999999"/>
    <s v="Low Quantity"/>
    <x v="1"/>
  </r>
  <r>
    <n v="10582"/>
    <d v="2022-12-03T00:00:00"/>
    <x v="0"/>
    <n v="3.49"/>
    <n v="630.37"/>
    <s v="Online "/>
    <s v=" Credit Card"/>
    <s v="Tom Jackson"/>
    <x v="0"/>
    <n v="2199.9913000000001"/>
    <s v="High Quantity"/>
    <x v="1"/>
  </r>
  <r>
    <n v="10583"/>
    <d v="2022-12-03T00:00:00"/>
    <x v="1"/>
    <n v="2.95"/>
    <n v="677.97"/>
    <s v="Online "/>
    <s v=" Credit Card"/>
    <s v="Tom Jackson"/>
    <x v="0"/>
    <n v="2000.0115000000003"/>
    <s v="High Quantity"/>
    <x v="1"/>
  </r>
  <r>
    <n v="10584"/>
    <d v="2022-12-03T00:00:00"/>
    <x v="2"/>
    <n v="4.99"/>
    <n v="200.4"/>
    <s v="Online "/>
    <s v=" Credit Card"/>
    <s v="Tom Jackson"/>
    <x v="0"/>
    <n v="999.99600000000009"/>
    <s v="Low Quantity"/>
    <x v="1"/>
  </r>
  <r>
    <n v="10585"/>
    <d v="2022-12-04T00:00:00"/>
    <x v="3"/>
    <n v="12.99"/>
    <n v="538.88"/>
    <s v="Online "/>
    <s v=" Credit Card"/>
    <s v="Tom Jackson"/>
    <x v="0"/>
    <n v="7000.0511999999999"/>
    <s v="High Quantity"/>
    <x v="1"/>
  </r>
  <r>
    <n v="10586"/>
    <d v="2022-12-04T00:00:00"/>
    <x v="4"/>
    <n v="9.9499999999999993"/>
    <n v="201.01"/>
    <s v="Online "/>
    <s v=" Credit Card"/>
    <s v="Tom Jackson"/>
    <x v="0"/>
    <n v="2000.0494999999999"/>
    <s v="Low Quantity"/>
    <x v="1"/>
  </r>
  <r>
    <n v="10537"/>
    <d v="2022-11-24T00:00:00"/>
    <x v="0"/>
    <n v="3.49"/>
    <n v="630.37"/>
    <s v="Drive-thru "/>
    <s v=" Credit Card"/>
    <s v="Pablo Perez"/>
    <x v="1"/>
    <n v="2199.9913000000001"/>
    <s v="High Quantity"/>
    <x v="0"/>
  </r>
  <r>
    <n v="10538"/>
    <d v="2022-11-24T00:00:00"/>
    <x v="1"/>
    <n v="2.95"/>
    <n v="745.76"/>
    <s v="Drive-thru "/>
    <s v=" Credit Card"/>
    <s v="Pablo Perez"/>
    <x v="1"/>
    <n v="2199.9920000000002"/>
    <s v="High Quantity"/>
    <x v="0"/>
  </r>
  <r>
    <n v="10539"/>
    <d v="2022-11-24T00:00:00"/>
    <x v="2"/>
    <n v="4.99"/>
    <n v="200.4"/>
    <s v="Drive-thru "/>
    <s v=" Credit Card"/>
    <s v="Pablo Perez"/>
    <x v="1"/>
    <n v="999.99600000000009"/>
    <s v="Low Quantity"/>
    <x v="0"/>
  </r>
  <r>
    <n v="10590"/>
    <d v="2022-12-05T00:00:00"/>
    <x v="3"/>
    <n v="12.99"/>
    <n v="554.27"/>
    <s v="Online "/>
    <s v=" Credit Card"/>
    <s v="Tom Jackson"/>
    <x v="0"/>
    <n v="7199.9673000000003"/>
    <s v="High Quantity"/>
    <x v="1"/>
  </r>
  <r>
    <n v="10591"/>
    <d v="2022-12-05T00:00:00"/>
    <x v="4"/>
    <n v="9.9499999999999993"/>
    <n v="201.01"/>
    <s v="Online "/>
    <s v=" Credit Card"/>
    <s v="Tom Jackson"/>
    <x v="0"/>
    <n v="2000.0494999999999"/>
    <s v="Low Quantity"/>
    <x v="1"/>
  </r>
  <r>
    <n v="10592"/>
    <d v="2022-12-05T00:00:00"/>
    <x v="0"/>
    <n v="3.49"/>
    <n v="573.07000000000005"/>
    <s v="Online "/>
    <s v=" Credit Card"/>
    <s v="Tom Jackson"/>
    <x v="0"/>
    <n v="2000.0143000000003"/>
    <s v="High Quantity"/>
    <x v="1"/>
  </r>
  <r>
    <n v="10593"/>
    <d v="2022-12-05T00:00:00"/>
    <x v="1"/>
    <n v="2.95"/>
    <n v="677.97"/>
    <s v="Online "/>
    <s v=" Credit Card"/>
    <s v="Tom Jackson"/>
    <x v="0"/>
    <n v="2000.0115000000003"/>
    <s v="High Quantity"/>
    <x v="1"/>
  </r>
  <r>
    <n v="10594"/>
    <d v="2022-12-05T00:00:00"/>
    <x v="2"/>
    <n v="4.99"/>
    <n v="200.4"/>
    <s v="Online "/>
    <s v=" Credit Card"/>
    <s v="Tom Jackson"/>
    <x v="0"/>
    <n v="999.99600000000009"/>
    <s v="Low Quantity"/>
    <x v="1"/>
  </r>
  <r>
    <n v="10595"/>
    <d v="2022-12-06T00:00:00"/>
    <x v="3"/>
    <n v="12.99"/>
    <n v="538.88"/>
    <s v="Online "/>
    <s v=" Credit Card"/>
    <s v="Tom Jackson"/>
    <x v="0"/>
    <n v="7000.0511999999999"/>
    <s v="High Quantity"/>
    <x v="1"/>
  </r>
  <r>
    <n v="10596"/>
    <d v="2022-12-06T00:00:00"/>
    <x v="4"/>
    <n v="9.9499999999999993"/>
    <n v="201.01"/>
    <s v="Online "/>
    <s v=" Credit Card"/>
    <s v="Tom Jackson"/>
    <x v="0"/>
    <n v="2000.0494999999999"/>
    <s v="Low Quantity"/>
    <x v="1"/>
  </r>
  <r>
    <n v="10597"/>
    <d v="2022-12-06T00:00:00"/>
    <x v="0"/>
    <n v="3.49"/>
    <n v="573.07000000000005"/>
    <s v="Online "/>
    <s v=" Credit Card"/>
    <s v="Tom Jackson"/>
    <x v="0"/>
    <n v="2000.0143000000003"/>
    <s v="High Quantity"/>
    <x v="1"/>
  </r>
  <r>
    <n v="10598"/>
    <d v="2022-12-06T00:00:00"/>
    <x v="1"/>
    <n v="2.95"/>
    <n v="677.97"/>
    <s v="Online "/>
    <s v=" Credit Card"/>
    <s v="Tom Jackson"/>
    <x v="0"/>
    <n v="2000.0115000000003"/>
    <s v="High Quantity"/>
    <x v="1"/>
  </r>
  <r>
    <n v="10599"/>
    <d v="2022-12-06T00:00:00"/>
    <x v="2"/>
    <n v="4.99"/>
    <n v="200.4"/>
    <s v="Online "/>
    <s v=" Credit Card"/>
    <s v="Tom Jackson"/>
    <x v="0"/>
    <n v="999.99600000000009"/>
    <s v="Low Quantity"/>
    <x v="1"/>
  </r>
  <r>
    <n v="10600"/>
    <d v="2022-12-07T00:00:00"/>
    <x v="3"/>
    <n v="12.99"/>
    <n v="523.48"/>
    <s v="Online "/>
    <s v=" Credit Card"/>
    <s v="Tom Jackson"/>
    <x v="0"/>
    <n v="6800.0052000000005"/>
    <s v="High Quantity"/>
    <x v="1"/>
  </r>
  <r>
    <n v="10601"/>
    <d v="2022-12-07T00:00:00"/>
    <x v="4"/>
    <n v="9.9499999999999993"/>
    <n v="201.01"/>
    <s v="Online "/>
    <s v=" Credit Card"/>
    <s v="Tom Jackson"/>
    <x v="0"/>
    <n v="2000.0494999999999"/>
    <s v="Low Quantity"/>
    <x v="1"/>
  </r>
  <r>
    <n v="10602"/>
    <d v="2022-12-07T00:00:00"/>
    <x v="0"/>
    <n v="3.49"/>
    <n v="630.37"/>
    <s v="Online "/>
    <s v=" Cash"/>
    <s v="Tom Jackson"/>
    <x v="0"/>
    <n v="2199.9913000000001"/>
    <s v="High Quantity"/>
    <x v="1"/>
  </r>
  <r>
    <n v="10603"/>
    <d v="2022-12-07T00:00:00"/>
    <x v="1"/>
    <n v="2.95"/>
    <n v="677.97"/>
    <s v="Online "/>
    <s v=" Cash"/>
    <s v="Tom Jackson"/>
    <x v="0"/>
    <n v="2000.0115000000003"/>
    <s v="High Quantity"/>
    <x v="1"/>
  </r>
  <r>
    <n v="10604"/>
    <d v="2022-12-07T00:00:00"/>
    <x v="2"/>
    <n v="4.99"/>
    <n v="200.4"/>
    <s v="Online "/>
    <s v=" Cash"/>
    <s v="Tom Jackson"/>
    <x v="0"/>
    <n v="999.99600000000009"/>
    <s v="Low Quantity"/>
    <x v="1"/>
  </r>
  <r>
    <n v="10605"/>
    <d v="2022-12-08T00:00:00"/>
    <x v="3"/>
    <n v="12.99"/>
    <n v="538.88"/>
    <s v="Online "/>
    <s v=" Cash"/>
    <s v="Tom Jackson"/>
    <x v="0"/>
    <n v="7000.0511999999999"/>
    <s v="High Quantity"/>
    <x v="1"/>
  </r>
  <r>
    <n v="10606"/>
    <d v="2022-12-08T00:00:00"/>
    <x v="4"/>
    <n v="9.9499999999999993"/>
    <n v="201.01"/>
    <s v="Online "/>
    <s v=" Cash"/>
    <s v="Tom Jackson"/>
    <x v="0"/>
    <n v="2000.0494999999999"/>
    <s v="Low Quantity"/>
    <x v="1"/>
  </r>
  <r>
    <n v="10607"/>
    <d v="2022-12-08T00:00:00"/>
    <x v="0"/>
    <n v="3.49"/>
    <n v="630.37"/>
    <s v="Online "/>
    <s v=" Cash"/>
    <s v="Tom Jackson"/>
    <x v="0"/>
    <n v="2199.9913000000001"/>
    <s v="High Quantity"/>
    <x v="1"/>
  </r>
  <r>
    <n v="10608"/>
    <d v="2022-12-08T00:00:00"/>
    <x v="1"/>
    <n v="2.95"/>
    <n v="677.97"/>
    <s v="Online "/>
    <s v=" Gift Card"/>
    <s v="Tom Jackson"/>
    <x v="0"/>
    <n v="2000.0115000000003"/>
    <s v="High Quantity"/>
    <x v="1"/>
  </r>
  <r>
    <n v="10609"/>
    <d v="2022-12-08T00:00:00"/>
    <x v="2"/>
    <n v="4.99"/>
    <n v="200.4"/>
    <s v="Online "/>
    <s v=" Gift Card"/>
    <s v="Tom Jackson"/>
    <x v="0"/>
    <n v="999.99600000000009"/>
    <s v="Low Quantity"/>
    <x v="1"/>
  </r>
  <r>
    <n v="10610"/>
    <d v="2022-12-09T00:00:00"/>
    <x v="3"/>
    <n v="12.99"/>
    <n v="569.66999999999996"/>
    <s v="Online "/>
    <s v=" Gift Card"/>
    <s v="Tom Jackson"/>
    <x v="0"/>
    <n v="7400.0132999999996"/>
    <s v="High Quantity"/>
    <x v="1"/>
  </r>
  <r>
    <n v="10611"/>
    <d v="2022-12-09T00:00:00"/>
    <x v="4"/>
    <n v="9.9499999999999993"/>
    <n v="201.01"/>
    <s v="Online "/>
    <s v=" Gift Card"/>
    <s v="Tom Jackson"/>
    <x v="0"/>
    <n v="2000.0494999999999"/>
    <s v="Low Quantity"/>
    <x v="1"/>
  </r>
  <r>
    <n v="10612"/>
    <d v="2022-12-09T00:00:00"/>
    <x v="0"/>
    <n v="3.49"/>
    <n v="630.37"/>
    <s v="Online "/>
    <s v=" Gift Card"/>
    <s v="Tom Jackson"/>
    <x v="0"/>
    <n v="2199.9913000000001"/>
    <s v="High Quantity"/>
    <x v="1"/>
  </r>
  <r>
    <n v="10613"/>
    <d v="2022-12-09T00:00:00"/>
    <x v="1"/>
    <n v="2.95"/>
    <n v="677.97"/>
    <s v="Online "/>
    <s v=" Gift Card"/>
    <s v="Tom Jackson"/>
    <x v="0"/>
    <n v="2000.0115000000003"/>
    <s v="High Quantity"/>
    <x v="1"/>
  </r>
  <r>
    <n v="10614"/>
    <d v="2022-12-09T00:00:00"/>
    <x v="2"/>
    <n v="4.99"/>
    <n v="200.4"/>
    <s v="Online "/>
    <s v=" Gift Card"/>
    <s v="Tom Jackson"/>
    <x v="0"/>
    <n v="999.99600000000009"/>
    <s v="Low Quantity"/>
    <x v="1"/>
  </r>
  <r>
    <n v="10615"/>
    <d v="2022-12-10T00:00:00"/>
    <x v="3"/>
    <n v="12.99"/>
    <n v="569.66999999999996"/>
    <s v="Online "/>
    <s v=" Gift Card"/>
    <s v="Tom Jackson"/>
    <x v="0"/>
    <n v="7400.0132999999996"/>
    <s v="High Quantity"/>
    <x v="1"/>
  </r>
  <r>
    <n v="10616"/>
    <d v="2022-12-10T00:00:00"/>
    <x v="4"/>
    <n v="9.9499999999999993"/>
    <n v="201.01"/>
    <s v="Online "/>
    <s v=" Gift Card"/>
    <s v="Tom Jackson"/>
    <x v="0"/>
    <n v="2000.0494999999999"/>
    <s v="Low Quantity"/>
    <x v="1"/>
  </r>
  <r>
    <n v="10617"/>
    <d v="2022-12-10T00:00:00"/>
    <x v="0"/>
    <n v="3.49"/>
    <n v="630.37"/>
    <s v="Online "/>
    <s v=" Gift Card"/>
    <s v="Tom Jackson"/>
    <x v="0"/>
    <n v="2199.9913000000001"/>
    <s v="High Quantity"/>
    <x v="1"/>
  </r>
  <r>
    <n v="10618"/>
    <d v="2022-12-10T00:00:00"/>
    <x v="1"/>
    <n v="2.95"/>
    <n v="677.97"/>
    <s v="Online "/>
    <s v=" Gift Card"/>
    <s v="Tom Jackson"/>
    <x v="0"/>
    <n v="2000.0115000000003"/>
    <s v="High Quantity"/>
    <x v="1"/>
  </r>
  <r>
    <n v="10619"/>
    <d v="2022-12-10T00:00:00"/>
    <x v="2"/>
    <n v="4.99"/>
    <n v="200.4"/>
    <s v="Online "/>
    <s v=" Gift Card"/>
    <s v="Tom Jackson"/>
    <x v="0"/>
    <n v="999.99600000000009"/>
    <s v="Low Quantity"/>
    <x v="1"/>
  </r>
  <r>
    <n v="10620"/>
    <d v="2022-12-11T00:00:00"/>
    <x v="3"/>
    <n v="12.99"/>
    <n v="585.07000000000005"/>
    <s v="Online "/>
    <s v=" Gift Card"/>
    <s v="Tom Jackson"/>
    <x v="0"/>
    <n v="7600.0593000000008"/>
    <s v="High Quantity"/>
    <x v="1"/>
  </r>
  <r>
    <n v="10621"/>
    <d v="2022-12-11T00:00:00"/>
    <x v="4"/>
    <n v="9.9499999999999993"/>
    <n v="201.01"/>
    <s v="Online "/>
    <s v=" Gift Card"/>
    <s v="Tom Jackson"/>
    <x v="0"/>
    <n v="2000.0494999999999"/>
    <s v="Low Quantity"/>
    <x v="1"/>
  </r>
  <r>
    <n v="10622"/>
    <d v="2022-12-11T00:00:00"/>
    <x v="0"/>
    <n v="3.49"/>
    <n v="630.37"/>
    <s v="Online "/>
    <s v=" Gift Card"/>
    <s v="Tom Jackson"/>
    <x v="0"/>
    <n v="2199.9913000000001"/>
    <s v="High Quantity"/>
    <x v="1"/>
  </r>
  <r>
    <n v="10623"/>
    <d v="2022-12-11T00:00:00"/>
    <x v="1"/>
    <n v="2.95"/>
    <n v="745.76"/>
    <s v="Online "/>
    <s v=" Gift Card"/>
    <s v="Tom Jackson"/>
    <x v="0"/>
    <n v="2199.9920000000002"/>
    <s v="High Quantity"/>
    <x v="1"/>
  </r>
  <r>
    <n v="10624"/>
    <d v="2022-12-11T00:00:00"/>
    <x v="2"/>
    <n v="4.99"/>
    <n v="200.4"/>
    <s v="Online "/>
    <s v=" Gift Card"/>
    <s v="Tom Jackson"/>
    <x v="0"/>
    <n v="999.99600000000009"/>
    <s v="Low Quantity"/>
    <x v="1"/>
  </r>
  <r>
    <n v="10625"/>
    <d v="2022-12-12T00:00:00"/>
    <x v="3"/>
    <n v="12.99"/>
    <n v="569.66999999999996"/>
    <s v="Online "/>
    <s v=" Gift Card"/>
    <s v="Tom Jackson"/>
    <x v="0"/>
    <n v="7400.0132999999996"/>
    <s v="High Quantity"/>
    <x v="1"/>
  </r>
  <r>
    <n v="10626"/>
    <d v="2022-12-12T00:00:00"/>
    <x v="4"/>
    <n v="9.9499999999999993"/>
    <n v="201.01"/>
    <s v="Online "/>
    <s v=" Gift Card"/>
    <s v="Tom Jackson"/>
    <x v="0"/>
    <n v="2000.0494999999999"/>
    <s v="Low Quantity"/>
    <x v="1"/>
  </r>
  <r>
    <n v="10627"/>
    <d v="2022-12-12T00:00:00"/>
    <x v="0"/>
    <n v="3.49"/>
    <n v="630.37"/>
    <s v="Online "/>
    <s v=" Gift Card"/>
    <s v="Tom Jackson"/>
    <x v="0"/>
    <n v="2199.9913000000001"/>
    <s v="High Quantity"/>
    <x v="1"/>
  </r>
  <r>
    <n v="10628"/>
    <d v="2022-12-12T00:00:00"/>
    <x v="1"/>
    <n v="2.95"/>
    <n v="677.97"/>
    <s v="Online "/>
    <s v=" Gift Card"/>
    <s v="Joao Silva"/>
    <x v="2"/>
    <n v="2000.0115000000003"/>
    <s v="High Quantity"/>
    <x v="1"/>
  </r>
  <r>
    <n v="10629"/>
    <d v="2022-12-12T00:00:00"/>
    <x v="2"/>
    <n v="4.99"/>
    <n v="200.4"/>
    <s v="Online "/>
    <s v=" Gift Card"/>
    <s v="Joao Silva"/>
    <x v="2"/>
    <n v="999.99600000000009"/>
    <s v="Low Quantity"/>
    <x v="1"/>
  </r>
  <r>
    <n v="10630"/>
    <d v="2022-12-13T00:00:00"/>
    <x v="3"/>
    <n v="12.99"/>
    <n v="569.66999999999996"/>
    <s v="Online "/>
    <s v=" Cash"/>
    <s v="Joao Silva"/>
    <x v="2"/>
    <n v="7400.0132999999996"/>
    <s v="High Quantity"/>
    <x v="1"/>
  </r>
  <r>
    <n v="10631"/>
    <d v="2022-12-13T00:00:00"/>
    <x v="4"/>
    <n v="9.9499999999999993"/>
    <n v="201.01"/>
    <s v="Online "/>
    <s v=" Gift Card"/>
    <s v="Joao Silva"/>
    <x v="2"/>
    <n v="2000.0494999999999"/>
    <s v="Low Quantity"/>
    <x v="1"/>
  </r>
  <r>
    <n v="10632"/>
    <d v="2022-12-13T00:00:00"/>
    <x v="0"/>
    <n v="3.49"/>
    <n v="630.37"/>
    <s v="Online "/>
    <s v=" Gift Card"/>
    <s v="Joao Silva"/>
    <x v="2"/>
    <n v="2199.9913000000001"/>
    <s v="High Quantity"/>
    <x v="1"/>
  </r>
  <r>
    <n v="10633"/>
    <d v="2022-12-13T00:00:00"/>
    <x v="1"/>
    <n v="2.95"/>
    <n v="677.97"/>
    <s v="Online "/>
    <s v=" Gift Card"/>
    <s v="Joao Silva"/>
    <x v="2"/>
    <n v="2000.0115000000003"/>
    <s v="High Quantity"/>
    <x v="1"/>
  </r>
  <r>
    <n v="10634"/>
    <d v="2022-12-13T00:00:00"/>
    <x v="2"/>
    <n v="4.99"/>
    <n v="200.4"/>
    <s v="Online "/>
    <s v=" Gift Card"/>
    <s v="Joao Silva"/>
    <x v="2"/>
    <n v="999.99600000000009"/>
    <s v="Low Quantity"/>
    <x v="1"/>
  </r>
  <r>
    <n v="10635"/>
    <d v="2022-12-14T00:00:00"/>
    <x v="3"/>
    <n v="12.99"/>
    <n v="554.27"/>
    <s v="Online "/>
    <s v=" Gift Card"/>
    <s v="Joao Silva"/>
    <x v="2"/>
    <n v="7199.9673000000003"/>
    <s v="High Quantity"/>
    <x v="1"/>
  </r>
  <r>
    <n v="10636"/>
    <d v="2022-12-14T00:00:00"/>
    <x v="4"/>
    <n v="9.9499999999999993"/>
    <n v="221.11"/>
    <s v="Online "/>
    <s v=" Gift Card"/>
    <s v="Joao Silva"/>
    <x v="2"/>
    <n v="2200.0445"/>
    <s v="Low Quantity"/>
    <x v="1"/>
  </r>
  <r>
    <n v="10637"/>
    <d v="2022-12-14T00:00:00"/>
    <x v="0"/>
    <n v="3.49"/>
    <n v="630.37"/>
    <s v="Online "/>
    <s v=" Gift Card"/>
    <s v="Joao Silva"/>
    <x v="2"/>
    <n v="2199.9913000000001"/>
    <s v="High Quantity"/>
    <x v="1"/>
  </r>
  <r>
    <n v="10638"/>
    <d v="2022-12-14T00:00:00"/>
    <x v="1"/>
    <n v="2.95"/>
    <n v="677.97"/>
    <s v="Online "/>
    <s v=" Gift Card"/>
    <s v="Joao Silva"/>
    <x v="2"/>
    <n v="2000.0115000000003"/>
    <s v="High Quantity"/>
    <x v="1"/>
  </r>
  <r>
    <n v="10639"/>
    <d v="2022-12-14T00:00:00"/>
    <x v="2"/>
    <n v="4.99"/>
    <n v="200.4"/>
    <s v="Online "/>
    <s v=" Gift Card"/>
    <s v="Joao Silva"/>
    <x v="2"/>
    <n v="999.99600000000009"/>
    <s v="Low Quantity"/>
    <x v="1"/>
  </r>
  <r>
    <n v="10640"/>
    <d v="2022-12-15T00:00:00"/>
    <x v="3"/>
    <n v="12.99"/>
    <n v="538.88"/>
    <s v="Online "/>
    <s v=" Gift Card"/>
    <s v="Joao Silva"/>
    <x v="2"/>
    <n v="7000.0511999999999"/>
    <s v="High Quantity"/>
    <x v="1"/>
  </r>
  <r>
    <n v="10641"/>
    <d v="2022-12-15T00:00:00"/>
    <x v="4"/>
    <n v="9.9499999999999993"/>
    <n v="221.11"/>
    <s v="Online "/>
    <s v=" Gift Card"/>
    <s v="Joao Silva"/>
    <x v="2"/>
    <n v="2200.0445"/>
    <s v="Low Quantity"/>
    <x v="1"/>
  </r>
  <r>
    <n v="10642"/>
    <d v="2022-12-15T00:00:00"/>
    <x v="0"/>
    <n v="3.49"/>
    <n v="630.37"/>
    <s v="Online "/>
    <s v=" Cash"/>
    <s v="Joao Silva"/>
    <x v="2"/>
    <n v="2199.9913000000001"/>
    <s v="High Quantity"/>
    <x v="1"/>
  </r>
  <r>
    <n v="10643"/>
    <d v="2022-12-15T00:00:00"/>
    <x v="1"/>
    <n v="2.95"/>
    <n v="677.97"/>
    <s v="Online "/>
    <s v=" Cash"/>
    <s v="Joao Silva"/>
    <x v="2"/>
    <n v="2000.0115000000003"/>
    <s v="High Quantity"/>
    <x v="1"/>
  </r>
  <r>
    <n v="10644"/>
    <d v="2022-12-15T00:00:00"/>
    <x v="2"/>
    <n v="4.99"/>
    <n v="200.4"/>
    <s v="Online "/>
    <s v=" Cash"/>
    <s v="Joao Silva"/>
    <x v="2"/>
    <n v="999.99600000000009"/>
    <s v="Low Quantity"/>
    <x v="1"/>
  </r>
  <r>
    <n v="10645"/>
    <d v="2022-12-16T00:00:00"/>
    <x v="3"/>
    <n v="12.99"/>
    <n v="569.66999999999996"/>
    <s v="Online "/>
    <s v=" Cash"/>
    <s v="Joao Silva"/>
    <x v="2"/>
    <n v="7400.0132999999996"/>
    <s v="High Quantity"/>
    <x v="1"/>
  </r>
  <r>
    <n v="10646"/>
    <d v="2022-12-16T00:00:00"/>
    <x v="4"/>
    <n v="9.9499999999999993"/>
    <n v="221.11"/>
    <s v="Online "/>
    <s v=" Cash"/>
    <s v="Joao Silva"/>
    <x v="2"/>
    <n v="2200.0445"/>
    <s v="Low Quantity"/>
    <x v="1"/>
  </r>
  <r>
    <n v="10647"/>
    <d v="2022-12-16T00:00:00"/>
    <x v="0"/>
    <n v="3.49"/>
    <n v="630.37"/>
    <s v="Online "/>
    <s v=" Gift Card"/>
    <s v="Joao Silva"/>
    <x v="2"/>
    <n v="2199.9913000000001"/>
    <s v="High Quantity"/>
    <x v="1"/>
  </r>
  <r>
    <n v="10648"/>
    <d v="2022-12-16T00:00:00"/>
    <x v="1"/>
    <n v="2.95"/>
    <n v="745.76"/>
    <s v="Online "/>
    <s v=" Gift Card"/>
    <s v="Joao Silva"/>
    <x v="2"/>
    <n v="2199.9920000000002"/>
    <s v="High Quantity"/>
    <x v="1"/>
  </r>
  <r>
    <n v="10649"/>
    <d v="2022-12-16T00:00:00"/>
    <x v="2"/>
    <n v="4.99"/>
    <n v="200.4"/>
    <s v="Online "/>
    <s v=" Gift Card"/>
    <s v="Joao Silva"/>
    <x v="2"/>
    <n v="999.99600000000009"/>
    <s v="Low Quantity"/>
    <x v="1"/>
  </r>
  <r>
    <n v="10650"/>
    <d v="2022-12-17T00:00:00"/>
    <x v="3"/>
    <n v="12.99"/>
    <n v="585.07000000000005"/>
    <s v="Online "/>
    <s v=" Gift Card"/>
    <s v="Joao Silva"/>
    <x v="2"/>
    <n v="7600.0593000000008"/>
    <s v="High Quantity"/>
    <x v="1"/>
  </r>
  <r>
    <n v="10651"/>
    <d v="2022-12-17T00:00:00"/>
    <x v="4"/>
    <n v="9.9499999999999993"/>
    <n v="221.11"/>
    <s v="Online "/>
    <s v=" Gift Card"/>
    <s v="Joao Silva"/>
    <x v="2"/>
    <n v="2200.0445"/>
    <s v="Low Quantity"/>
    <x v="1"/>
  </r>
  <r>
    <n v="10652"/>
    <d v="2022-12-17T00:00:00"/>
    <x v="0"/>
    <n v="3.49"/>
    <n v="687.68"/>
    <s v="Online "/>
    <s v=" Gift Card"/>
    <s v="Joao Silva"/>
    <x v="2"/>
    <n v="2400.0032000000001"/>
    <s v="High Quantity"/>
    <x v="1"/>
  </r>
  <r>
    <n v="10653"/>
    <d v="2022-12-17T00:00:00"/>
    <x v="1"/>
    <n v="2.95"/>
    <n v="745.76"/>
    <s v="Online "/>
    <s v=" Gift Card"/>
    <s v="Joao Silva"/>
    <x v="2"/>
    <n v="2199.9920000000002"/>
    <s v="High Quantity"/>
    <x v="1"/>
  </r>
  <r>
    <n v="10654"/>
    <d v="2022-12-17T00:00:00"/>
    <x v="2"/>
    <n v="4.99"/>
    <n v="200.4"/>
    <s v="Online "/>
    <s v=" Gift Card"/>
    <s v="Joao Silva"/>
    <x v="2"/>
    <n v="999.99600000000009"/>
    <s v="Low Quantity"/>
    <x v="1"/>
  </r>
  <r>
    <n v="10655"/>
    <d v="2022-12-18T00:00:00"/>
    <x v="3"/>
    <n v="12.99"/>
    <n v="600.46"/>
    <s v="Online "/>
    <s v=" Gift Card"/>
    <s v="Joao Silva"/>
    <x v="2"/>
    <n v="7799.9754000000003"/>
    <s v="High Quantity"/>
    <x v="1"/>
  </r>
  <r>
    <n v="10656"/>
    <d v="2022-12-18T00:00:00"/>
    <x v="4"/>
    <n v="9.9499999999999993"/>
    <n v="221.11"/>
    <s v="Online "/>
    <s v=" Gift Card"/>
    <s v="Joao Silva"/>
    <x v="2"/>
    <n v="2200.0445"/>
    <s v="Low Quantity"/>
    <x v="1"/>
  </r>
  <r>
    <n v="10657"/>
    <d v="2022-12-18T00:00:00"/>
    <x v="0"/>
    <n v="3.49"/>
    <n v="687.68"/>
    <s v="Online "/>
    <s v=" Gift Card"/>
    <s v="Joao Silva"/>
    <x v="2"/>
    <n v="2400.0032000000001"/>
    <s v="High Quantity"/>
    <x v="1"/>
  </r>
  <r>
    <n v="10658"/>
    <d v="2022-12-18T00:00:00"/>
    <x v="1"/>
    <n v="2.95"/>
    <n v="745.76"/>
    <s v="Online "/>
    <s v=" Cash"/>
    <s v="Joao Silva"/>
    <x v="2"/>
    <n v="2199.9920000000002"/>
    <s v="High Quantity"/>
    <x v="1"/>
  </r>
  <r>
    <n v="10659"/>
    <d v="2022-12-18T00:00:00"/>
    <x v="2"/>
    <n v="4.99"/>
    <n v="200.4"/>
    <s v="Online "/>
    <s v=" Cash"/>
    <s v="Joao Silva"/>
    <x v="2"/>
    <n v="999.99600000000009"/>
    <s v="Low Quantity"/>
    <x v="1"/>
  </r>
  <r>
    <n v="10660"/>
    <d v="2022-12-19T00:00:00"/>
    <x v="3"/>
    <n v="12.99"/>
    <n v="631.25"/>
    <s v="In-store "/>
    <s v=" Cash"/>
    <s v="Joao Silva"/>
    <x v="2"/>
    <n v="8199.9375"/>
    <s v="High Quantity"/>
    <x v="1"/>
  </r>
  <r>
    <n v="10661"/>
    <d v="2022-12-19T00:00:00"/>
    <x v="4"/>
    <n v="9.9499999999999993"/>
    <n v="221.11"/>
    <s v="In-store "/>
    <s v=" Cash"/>
    <s v="Joao Silva"/>
    <x v="2"/>
    <n v="2200.0445"/>
    <s v="Low Quantity"/>
    <x v="1"/>
  </r>
  <r>
    <n v="10662"/>
    <d v="2022-12-19T00:00:00"/>
    <x v="0"/>
    <n v="3.49"/>
    <n v="630.37"/>
    <s v="In-store "/>
    <s v=" Cash"/>
    <s v="Joao Silva"/>
    <x v="2"/>
    <n v="2199.9913000000001"/>
    <s v="High Quantity"/>
    <x v="1"/>
  </r>
  <r>
    <n v="10663"/>
    <d v="2022-12-19T00:00:00"/>
    <x v="1"/>
    <n v="2.95"/>
    <n v="745.76"/>
    <s v="In-store "/>
    <s v=" Cash"/>
    <s v="Joao Silva"/>
    <x v="2"/>
    <n v="2199.9920000000002"/>
    <s v="High Quantity"/>
    <x v="1"/>
  </r>
  <r>
    <n v="10664"/>
    <d v="2022-12-19T00:00:00"/>
    <x v="2"/>
    <n v="4.99"/>
    <n v="200.4"/>
    <s v="In-store "/>
    <s v=" Cash"/>
    <s v="Joao Silva"/>
    <x v="2"/>
    <n v="999.99600000000009"/>
    <s v="Low Quantity"/>
    <x v="1"/>
  </r>
  <r>
    <n v="10665"/>
    <d v="2022-12-20T00:00:00"/>
    <x v="3"/>
    <n v="12.99"/>
    <n v="646.65"/>
    <s v="In-store "/>
    <s v=" Cash"/>
    <s v="Joao Silva"/>
    <x v="2"/>
    <n v="8399.9835000000003"/>
    <s v="High Quantity"/>
    <x v="1"/>
  </r>
  <r>
    <n v="10666"/>
    <d v="2022-12-20T00:00:00"/>
    <x v="4"/>
    <n v="9.9499999999999993"/>
    <n v="221.11"/>
    <s v="In-store "/>
    <s v=" Cash"/>
    <s v="Joao Silva"/>
    <x v="2"/>
    <n v="2200.0445"/>
    <s v="Low Quantity"/>
    <x v="1"/>
  </r>
  <r>
    <n v="10667"/>
    <d v="2022-12-20T00:00:00"/>
    <x v="0"/>
    <n v="3.49"/>
    <n v="630.37"/>
    <s v="In-store "/>
    <s v=" Cash"/>
    <s v="Joao Silva"/>
    <x v="2"/>
    <n v="2199.9913000000001"/>
    <s v="High Quantity"/>
    <x v="1"/>
  </r>
  <r>
    <n v="10668"/>
    <d v="2022-12-20T00:00:00"/>
    <x v="1"/>
    <n v="2.95"/>
    <n v="745.76"/>
    <s v="In-store "/>
    <s v=" Cash"/>
    <s v="Joao Silva"/>
    <x v="2"/>
    <n v="2199.9920000000002"/>
    <s v="High Quantity"/>
    <x v="1"/>
  </r>
  <r>
    <n v="10669"/>
    <d v="2022-12-20T00:00:00"/>
    <x v="2"/>
    <n v="4.99"/>
    <n v="200.4"/>
    <s v="In-store "/>
    <s v=" Cash"/>
    <s v="Joao Silva"/>
    <x v="2"/>
    <n v="999.99600000000009"/>
    <s v="Low Quantity"/>
    <x v="1"/>
  </r>
  <r>
    <n v="10670"/>
    <d v="2022-12-21T00:00:00"/>
    <x v="3"/>
    <n v="12.99"/>
    <n v="677.44"/>
    <s v="In-store "/>
    <s v=" Cash"/>
    <s v="Joao Silva"/>
    <x v="2"/>
    <n v="8799.9456000000009"/>
    <s v="High Quantity"/>
    <x v="1"/>
  </r>
  <r>
    <n v="10671"/>
    <d v="2022-12-21T00:00:00"/>
    <x v="4"/>
    <n v="9.9499999999999993"/>
    <n v="221.11"/>
    <s v="In-store "/>
    <s v=" Cash"/>
    <s v="Joao Silva"/>
    <x v="2"/>
    <n v="2200.0445"/>
    <s v="Low Quantity"/>
    <x v="1"/>
  </r>
  <r>
    <n v="10672"/>
    <d v="2022-12-21T00:00:00"/>
    <x v="0"/>
    <n v="3.49"/>
    <n v="630.37"/>
    <s v="In-store "/>
    <s v=" Cash"/>
    <s v="Joao Silva"/>
    <x v="2"/>
    <n v="2199.9913000000001"/>
    <s v="High Quantity"/>
    <x v="1"/>
  </r>
  <r>
    <n v="10673"/>
    <d v="2022-12-21T00:00:00"/>
    <x v="1"/>
    <n v="2.95"/>
    <n v="745.76"/>
    <s v="In-store "/>
    <s v=" Cash"/>
    <s v="Joao Silva"/>
    <x v="2"/>
    <n v="2199.9920000000002"/>
    <s v="High Quantity"/>
    <x v="1"/>
  </r>
  <r>
    <n v="10674"/>
    <d v="2022-12-21T00:00:00"/>
    <x v="2"/>
    <n v="4.99"/>
    <n v="200.4"/>
    <s v="In-store "/>
    <s v=" Cash"/>
    <s v="Joao Silva"/>
    <x v="2"/>
    <n v="999.99600000000009"/>
    <s v="Low Quantity"/>
    <x v="1"/>
  </r>
  <r>
    <n v="10675"/>
    <d v="2022-12-22T00:00:00"/>
    <x v="3"/>
    <n v="12.99"/>
    <n v="677.44"/>
    <s v="In-store "/>
    <s v=" Cash"/>
    <s v="Joao Silva"/>
    <x v="2"/>
    <n v="8799.9456000000009"/>
    <s v="High Quantity"/>
    <x v="1"/>
  </r>
  <r>
    <n v="10676"/>
    <d v="2022-12-22T00:00:00"/>
    <x v="4"/>
    <n v="9.9499999999999993"/>
    <n v="241.21"/>
    <s v="In-store "/>
    <s v=" Cash"/>
    <s v="Joao Silva"/>
    <x v="2"/>
    <n v="2400.0394999999999"/>
    <s v="Low Quantity"/>
    <x v="1"/>
  </r>
  <r>
    <n v="10677"/>
    <d v="2022-12-22T00:00:00"/>
    <x v="0"/>
    <n v="3.49"/>
    <n v="630.37"/>
    <s v="In-store "/>
    <s v=" Cash"/>
    <s v="Joao Silva"/>
    <x v="2"/>
    <n v="2199.9913000000001"/>
    <s v="High Quantity"/>
    <x v="1"/>
  </r>
  <r>
    <n v="10678"/>
    <d v="2022-12-22T00:00:00"/>
    <x v="1"/>
    <n v="2.95"/>
    <n v="745.76"/>
    <s v="In-store "/>
    <s v=" Cash"/>
    <s v="Joao Silva"/>
    <x v="2"/>
    <n v="2199.9920000000002"/>
    <s v="High Quantity"/>
    <x v="1"/>
  </r>
  <r>
    <n v="10679"/>
    <d v="2022-12-22T00:00:00"/>
    <x v="2"/>
    <n v="4.99"/>
    <n v="200.4"/>
    <s v="In-store "/>
    <s v=" Cash"/>
    <s v="Joao Silva"/>
    <x v="2"/>
    <n v="999.99600000000009"/>
    <s v="Low Quantity"/>
    <x v="1"/>
  </r>
  <r>
    <n v="10680"/>
    <d v="2022-12-23T00:00:00"/>
    <x v="3"/>
    <n v="12.99"/>
    <n v="646.65"/>
    <s v="In-store "/>
    <s v=" Cash"/>
    <s v="Joao Silva"/>
    <x v="2"/>
    <n v="8399.9835000000003"/>
    <s v="High Quantity"/>
    <x v="1"/>
  </r>
  <r>
    <n v="10681"/>
    <d v="2022-12-23T00:00:00"/>
    <x v="4"/>
    <n v="9.9499999999999993"/>
    <n v="241.21"/>
    <s v="In-store "/>
    <s v=" Cash"/>
    <s v="Joao Silva"/>
    <x v="2"/>
    <n v="2400.0394999999999"/>
    <s v="Low Quantity"/>
    <x v="1"/>
  </r>
  <r>
    <n v="10682"/>
    <d v="2022-12-23T00:00:00"/>
    <x v="0"/>
    <n v="3.49"/>
    <n v="630.37"/>
    <s v="In-store "/>
    <s v=" Cash"/>
    <s v="Joao Silva"/>
    <x v="2"/>
    <n v="2199.9913000000001"/>
    <s v="High Quantity"/>
    <x v="1"/>
  </r>
  <r>
    <n v="10683"/>
    <d v="2022-12-23T00:00:00"/>
    <x v="1"/>
    <n v="2.95"/>
    <n v="677.97"/>
    <s v="In-store "/>
    <s v=" Cash"/>
    <s v="Joao Silva"/>
    <x v="2"/>
    <n v="2000.0115000000003"/>
    <s v="High Quantity"/>
    <x v="1"/>
  </r>
  <r>
    <n v="10684"/>
    <d v="2022-12-23T00:00:00"/>
    <x v="2"/>
    <n v="4.99"/>
    <n v="200.4"/>
    <s v="In-store "/>
    <s v=" Cash"/>
    <s v="Joao Silva"/>
    <x v="2"/>
    <n v="999.99600000000009"/>
    <s v="Low Quantity"/>
    <x v="1"/>
  </r>
  <r>
    <n v="10685"/>
    <d v="2022-12-24T00:00:00"/>
    <x v="3"/>
    <n v="12.99"/>
    <n v="677.44"/>
    <s v="In-store "/>
    <s v=" Cash"/>
    <s v="Joao Silva"/>
    <x v="2"/>
    <n v="8799.9456000000009"/>
    <s v="High Quantity"/>
    <x v="1"/>
  </r>
  <r>
    <n v="10686"/>
    <d v="2022-12-24T00:00:00"/>
    <x v="4"/>
    <n v="9.9499999999999993"/>
    <n v="241.21"/>
    <s v="In-store "/>
    <s v=" Cash"/>
    <s v="Joao Silva"/>
    <x v="2"/>
    <n v="2400.0394999999999"/>
    <s v="Low Quantity"/>
    <x v="1"/>
  </r>
  <r>
    <n v="10687"/>
    <d v="2022-12-24T00:00:00"/>
    <x v="0"/>
    <n v="3.49"/>
    <n v="630.37"/>
    <s v="In-store "/>
    <s v=" Cash"/>
    <s v="Walter Muller"/>
    <x v="3"/>
    <n v="2199.9913000000001"/>
    <s v="High Quantity"/>
    <x v="1"/>
  </r>
  <r>
    <n v="10688"/>
    <d v="2022-12-24T00:00:00"/>
    <x v="1"/>
    <n v="2.95"/>
    <n v="677.97"/>
    <s v="In-store "/>
    <s v=" Cash"/>
    <s v="Walter Muller"/>
    <x v="3"/>
    <n v="2000.0115000000003"/>
    <s v="High Quantity"/>
    <x v="1"/>
  </r>
  <r>
    <n v="10689"/>
    <d v="2022-12-24T00:00:00"/>
    <x v="2"/>
    <n v="4.99"/>
    <n v="200.4"/>
    <s v="In-store "/>
    <s v=" Cash"/>
    <s v="Walter Muller"/>
    <x v="3"/>
    <n v="999.99600000000009"/>
    <s v="Low Quantity"/>
    <x v="1"/>
  </r>
  <r>
    <n v="10690"/>
    <d v="2022-12-25T00:00:00"/>
    <x v="3"/>
    <n v="12.99"/>
    <n v="677.44"/>
    <s v="In-store "/>
    <s v=" Cash"/>
    <s v="Walter Muller"/>
    <x v="3"/>
    <n v="8799.9456000000009"/>
    <s v="High Quantity"/>
    <x v="1"/>
  </r>
  <r>
    <n v="10691"/>
    <d v="2022-12-25T00:00:00"/>
    <x v="4"/>
    <n v="9.9499999999999993"/>
    <n v="261.31"/>
    <s v="In-store "/>
    <s v=" Cash"/>
    <s v="Walter Muller"/>
    <x v="3"/>
    <n v="2600.0344999999998"/>
    <s v="Low Quantity"/>
    <x v="1"/>
  </r>
  <r>
    <n v="10692"/>
    <d v="2022-12-25T00:00:00"/>
    <x v="0"/>
    <n v="3.49"/>
    <n v="630.37"/>
    <s v="In-store "/>
    <s v=" Cash"/>
    <s v="Walter Muller"/>
    <x v="3"/>
    <n v="2199.9913000000001"/>
    <s v="High Quantity"/>
    <x v="1"/>
  </r>
  <r>
    <n v="10693"/>
    <d v="2022-12-25T00:00:00"/>
    <x v="1"/>
    <n v="2.95"/>
    <n v="677.97"/>
    <s v="In-store "/>
    <s v=" Cash"/>
    <s v="Walter Muller"/>
    <x v="3"/>
    <n v="2000.0115000000003"/>
    <s v="High Quantity"/>
    <x v="1"/>
  </r>
  <r>
    <n v="10694"/>
    <d v="2022-12-25T00:00:00"/>
    <x v="2"/>
    <n v="4.99"/>
    <n v="200.4"/>
    <s v="In-store "/>
    <s v=" Cash"/>
    <s v="Walter Muller"/>
    <x v="3"/>
    <n v="999.99600000000009"/>
    <s v="Low Quantity"/>
    <x v="1"/>
  </r>
  <r>
    <n v="10695"/>
    <d v="2022-12-26T00:00:00"/>
    <x v="3"/>
    <n v="12.99"/>
    <n v="692.84"/>
    <s v="In-store "/>
    <s v=" Cash"/>
    <s v="Walter Muller"/>
    <x v="3"/>
    <n v="8999.9916000000012"/>
    <s v="High Quantity"/>
    <x v="1"/>
  </r>
  <r>
    <n v="10696"/>
    <d v="2022-12-26T00:00:00"/>
    <x v="4"/>
    <n v="9.9499999999999993"/>
    <n v="281.41000000000003"/>
    <s v="In-store "/>
    <s v=" Cash"/>
    <s v="Walter Muller"/>
    <x v="3"/>
    <n v="2800.0295000000001"/>
    <s v="Low Quantity"/>
    <x v="1"/>
  </r>
  <r>
    <n v="10697"/>
    <d v="2022-12-26T00:00:00"/>
    <x v="0"/>
    <n v="3.49"/>
    <n v="630.37"/>
    <s v="In-store "/>
    <s v=" Cash"/>
    <s v="Walter Muller"/>
    <x v="3"/>
    <n v="2199.9913000000001"/>
    <s v="High Quantity"/>
    <x v="1"/>
  </r>
  <r>
    <n v="10698"/>
    <d v="2022-12-26T00:00:00"/>
    <x v="1"/>
    <n v="2.95"/>
    <n v="677.97"/>
    <s v="In-store "/>
    <s v=" Cash"/>
    <s v="Walter Muller"/>
    <x v="3"/>
    <n v="2000.0115000000003"/>
    <s v="High Quantity"/>
    <x v="1"/>
  </r>
  <r>
    <n v="10699"/>
    <d v="2022-12-26T00:00:00"/>
    <x v="2"/>
    <n v="4.99"/>
    <n v="200.4"/>
    <s v="In-store "/>
    <s v=" Cash"/>
    <s v="Walter Muller"/>
    <x v="3"/>
    <n v="999.99600000000009"/>
    <s v="Low Quantity"/>
    <x v="1"/>
  </r>
  <r>
    <n v="10700"/>
    <d v="2022-12-27T00:00:00"/>
    <x v="3"/>
    <n v="12.99"/>
    <n v="692.84"/>
    <s v="In-store "/>
    <s v=" Cash"/>
    <s v="Walter Muller"/>
    <x v="3"/>
    <n v="8999.9916000000012"/>
    <s v="High Quantity"/>
    <x v="1"/>
  </r>
  <r>
    <n v="10701"/>
    <d v="2022-12-27T00:00:00"/>
    <x v="4"/>
    <n v="9.9499999999999993"/>
    <n v="281.41000000000003"/>
    <s v="In-store "/>
    <s v=" Cash"/>
    <s v="Walter Muller"/>
    <x v="3"/>
    <n v="2800.0295000000001"/>
    <s v="Low Quantity"/>
    <x v="1"/>
  </r>
  <r>
    <n v="10702"/>
    <d v="2022-12-27T00:00:00"/>
    <x v="0"/>
    <n v="3.49"/>
    <n v="630.37"/>
    <s v="In-store "/>
    <s v=" Cash"/>
    <s v="Walter Muller"/>
    <x v="3"/>
    <n v="2199.9913000000001"/>
    <s v="High Quantity"/>
    <x v="1"/>
  </r>
  <r>
    <n v="10703"/>
    <d v="2022-12-27T00:00:00"/>
    <x v="1"/>
    <n v="2.95"/>
    <n v="677.97"/>
    <s v="In-store "/>
    <s v=" Gift Card"/>
    <s v="Walter Muller"/>
    <x v="3"/>
    <n v="2000.0115000000003"/>
    <s v="High Quantity"/>
    <x v="1"/>
  </r>
  <r>
    <n v="10704"/>
    <d v="2022-12-27T00:00:00"/>
    <x v="2"/>
    <n v="4.99"/>
    <n v="200.4"/>
    <s v="Drive-thru "/>
    <s v=" Gift Card"/>
    <s v="Walter Muller"/>
    <x v="3"/>
    <n v="999.99600000000009"/>
    <s v="Low Quantity"/>
    <x v="1"/>
  </r>
  <r>
    <n v="10705"/>
    <d v="2022-12-28T00:00:00"/>
    <x v="3"/>
    <n v="12.99"/>
    <n v="723.63"/>
    <s v="Drive-thru "/>
    <s v=" Gift Card"/>
    <s v="Walter Muller"/>
    <x v="3"/>
    <n v="9399.9537"/>
    <s v="High Quantity"/>
    <x v="1"/>
  </r>
  <r>
    <n v="10706"/>
    <d v="2022-12-28T00:00:00"/>
    <x v="4"/>
    <n v="9.9499999999999993"/>
    <n v="301.51"/>
    <s v="Drive-thru "/>
    <s v=" Gift Card"/>
    <s v="Walter Muller"/>
    <x v="3"/>
    <n v="3000.0244999999995"/>
    <s v="Low Quantity"/>
    <x v="1"/>
  </r>
  <r>
    <n v="10707"/>
    <d v="2022-12-28T00:00:00"/>
    <x v="0"/>
    <n v="3.49"/>
    <n v="630.37"/>
    <s v="Drive-thru "/>
    <s v=" Gift Card"/>
    <s v="Walter Muller"/>
    <x v="3"/>
    <n v="2199.9913000000001"/>
    <s v="High Quantity"/>
    <x v="1"/>
  </r>
  <r>
    <n v="10708"/>
    <d v="2022-12-28T00:00:00"/>
    <x v="1"/>
    <n v="2.95"/>
    <n v="677.97"/>
    <s v="Drive-thru "/>
    <s v=" Gift Card"/>
    <s v="Walter Muller"/>
    <x v="3"/>
    <n v="2000.0115000000003"/>
    <s v="High Quantity"/>
    <x v="1"/>
  </r>
  <r>
    <n v="10709"/>
    <d v="2022-12-28T00:00:00"/>
    <x v="2"/>
    <n v="4.99"/>
    <n v="200.4"/>
    <s v="Drive-thru "/>
    <s v=" Gift Card"/>
    <s v="Walter Muller"/>
    <x v="3"/>
    <n v="999.99600000000009"/>
    <s v="Low Quantity"/>
    <x v="1"/>
  </r>
  <r>
    <n v="10710"/>
    <d v="2022-12-29T00:00:00"/>
    <x v="3"/>
    <n v="12.99"/>
    <n v="754.43"/>
    <s v="Drive-thru "/>
    <s v=" Gift Card"/>
    <s v="Walter Muller"/>
    <x v="3"/>
    <n v="9800.0456999999988"/>
    <s v="High Quantity"/>
    <x v="1"/>
  </r>
  <r>
    <n v="10711"/>
    <d v="2022-12-29T00:00:00"/>
    <x v="4"/>
    <n v="9.9499999999999993"/>
    <n v="281.41000000000003"/>
    <s v="Drive-thru "/>
    <s v=" Gift Card"/>
    <s v="Walter Muller"/>
    <x v="3"/>
    <n v="2800.0295000000001"/>
    <s v="Low Quantity"/>
    <x v="1"/>
  </r>
  <r>
    <n v="10712"/>
    <d v="2022-12-29T00:00:00"/>
    <x v="0"/>
    <n v="3.49"/>
    <n v="630.37"/>
    <s v="Drive-thru "/>
    <s v=" Gift Card"/>
    <s v="Walter Muller"/>
    <x v="3"/>
    <n v="2199.9913000000001"/>
    <s v="High Quantity"/>
    <x v="1"/>
  </r>
  <r>
    <n v="10713"/>
    <d v="2022-12-29T00:00:00"/>
    <x v="1"/>
    <n v="2.95"/>
    <n v="677.97"/>
    <s v="Drive-thru "/>
    <s v=" Gift Card"/>
    <s v="Walter Muller"/>
    <x v="3"/>
    <n v="2000.0115000000003"/>
    <s v="High Quantit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57A53A-B4A4-490F-9DCC-51866DEBB52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B24" firstHeaderRow="1" firstDataRow="1" firstDataCol="1"/>
  <pivotFields count="12">
    <pivotField showAll="0"/>
    <pivotField numFmtId="167" showAll="0"/>
    <pivotField showAll="0">
      <items count="6">
        <item x="1"/>
        <item x="3"/>
        <item x="4"/>
        <item x="0"/>
        <item x="2"/>
        <item t="default"/>
      </items>
    </pivotField>
    <pivotField numFmtId="164" showAll="0"/>
    <pivotField showAll="0"/>
    <pivotField showAll="0"/>
    <pivotField showAll="0"/>
    <pivotField showAll="0"/>
    <pivotField axis="axisRow" showAll="0">
      <items count="6">
        <item x="3"/>
        <item x="2"/>
        <item x="0"/>
        <item x="1"/>
        <item x="4"/>
        <item t="default"/>
      </items>
    </pivotField>
    <pivotField dataField="1" numFmtId="164" showAll="0"/>
    <pivotField showAll="0"/>
    <pivotField showAll="0">
      <items count="3">
        <item x="0"/>
        <item x="1"/>
        <item t="default"/>
      </items>
    </pivotField>
  </pivotFields>
  <rowFields count="1">
    <field x="8"/>
  </rowFields>
  <rowItems count="6">
    <i>
      <x/>
    </i>
    <i>
      <x v="1"/>
    </i>
    <i>
      <x v="2"/>
    </i>
    <i>
      <x v="3"/>
    </i>
    <i>
      <x v="4"/>
    </i>
    <i t="grand">
      <x/>
    </i>
  </rowItems>
  <colItems count="1">
    <i/>
  </colItems>
  <dataFields count="1">
    <dataField name="Sum of Total sales" fld="9" baseField="0" baseItem="0" numFmtId="164"/>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DFA2D1-524A-4D72-A55B-1F55C501A41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2">
    <pivotField showAll="0"/>
    <pivotField numFmtId="167" showAll="0"/>
    <pivotField axis="axisRow" showAll="0">
      <items count="6">
        <item x="1"/>
        <item x="3"/>
        <item x="4"/>
        <item x="0"/>
        <item x="2"/>
        <item t="default"/>
      </items>
    </pivotField>
    <pivotField numFmtId="164" showAll="0"/>
    <pivotField showAll="0"/>
    <pivotField showAll="0"/>
    <pivotField showAll="0"/>
    <pivotField showAll="0"/>
    <pivotField showAll="0">
      <items count="6">
        <item x="3"/>
        <item x="2"/>
        <item x="0"/>
        <item x="1"/>
        <item x="4"/>
        <item t="default"/>
      </items>
    </pivotField>
    <pivotField dataField="1" numFmtId="164" showAll="0"/>
    <pivotField showAll="0"/>
    <pivotField axis="axisRow" showAll="0">
      <items count="3">
        <item x="0"/>
        <item x="1"/>
        <item t="default"/>
      </items>
    </pivotField>
  </pivotFields>
  <rowFields count="2">
    <field x="11"/>
    <field x="2"/>
  </rowFields>
  <rowItems count="13">
    <i>
      <x/>
    </i>
    <i r="1">
      <x/>
    </i>
    <i r="1">
      <x v="1"/>
    </i>
    <i r="1">
      <x v="2"/>
    </i>
    <i r="1">
      <x v="3"/>
    </i>
    <i r="1">
      <x v="4"/>
    </i>
    <i>
      <x v="1"/>
    </i>
    <i r="1">
      <x/>
    </i>
    <i r="1">
      <x v="1"/>
    </i>
    <i r="1">
      <x v="2"/>
    </i>
    <i r="1">
      <x v="3"/>
    </i>
    <i r="1">
      <x v="4"/>
    </i>
    <i t="grand">
      <x/>
    </i>
  </rowItems>
  <colItems count="1">
    <i/>
  </colItems>
  <dataFields count="1">
    <dataField name="Sum of Total sales" fld="9" baseField="0" baseItem="0" numFmtId="164"/>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6E584B-43EC-48A5-9D06-4CBCB66D44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7:F33" firstHeaderRow="1" firstDataRow="1" firstDataCol="1"/>
  <pivotFields count="11">
    <pivotField showAll="0"/>
    <pivotField showAll="0"/>
    <pivotField axis="axisRow" showAll="0">
      <items count="6">
        <item x="1"/>
        <item x="3"/>
        <item x="4"/>
        <item x="0"/>
        <item x="2"/>
        <item t="default"/>
      </items>
    </pivotField>
    <pivotField numFmtId="164" showAll="0"/>
    <pivotField dataField="1" showAll="0"/>
    <pivotField showAll="0">
      <items count="4">
        <item x="2"/>
        <item x="1"/>
        <item x="0"/>
        <item t="default"/>
      </items>
    </pivotField>
    <pivotField multipleItemSelectionAllowed="1" showAll="0">
      <items count="4">
        <item x="2"/>
        <item x="1"/>
        <item x="0"/>
        <item t="default"/>
      </items>
    </pivotField>
    <pivotField showAll="0"/>
    <pivotField showAll="0"/>
    <pivotField numFmtId="164" showAll="0"/>
    <pivotField showAll="0"/>
  </pivotFields>
  <rowFields count="1">
    <field x="2"/>
  </rowFields>
  <rowItems count="6">
    <i>
      <x/>
    </i>
    <i>
      <x v="1"/>
    </i>
    <i>
      <x v="2"/>
    </i>
    <i>
      <x v="3"/>
    </i>
    <i>
      <x v="4"/>
    </i>
    <i t="grand">
      <x/>
    </i>
  </rowItems>
  <colItems count="1">
    <i/>
  </colItems>
  <dataFields count="1">
    <dataField name="Sum of Quantity" fld="4" baseField="0" baseItem="0" numFmtId="166"/>
  </dataFields>
  <formats count="2">
    <format dxfId="1">
      <pivotArea outline="0" collapsedLevelsAreSubtotals="1" fieldPosition="0"/>
    </format>
    <format dxfId="0">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BBE12-1DBC-4448-80B5-0A43DC55D30C}" name="PivotTable1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6">
  <location ref="H14:I20" firstHeaderRow="1" firstDataRow="1" firstDataCol="1"/>
  <pivotFields count="11">
    <pivotField showAll="0"/>
    <pivotField showAll="0">
      <items count="54">
        <item x="6"/>
        <item x="36"/>
        <item x="7"/>
        <item x="37"/>
        <item x="8"/>
        <item x="38"/>
        <item x="9"/>
        <item x="39"/>
        <item x="10"/>
        <item x="40"/>
        <item x="11"/>
        <item x="41"/>
        <item x="12"/>
        <item x="42"/>
        <item x="13"/>
        <item x="43"/>
        <item x="14"/>
        <item x="44"/>
        <item x="15"/>
        <item x="45"/>
        <item x="16"/>
        <item x="46"/>
        <item x="17"/>
        <item x="47"/>
        <item x="18"/>
        <item x="48"/>
        <item x="19"/>
        <item x="49"/>
        <item x="20"/>
        <item x="50"/>
        <item x="21"/>
        <item x="51"/>
        <item x="22"/>
        <item x="52"/>
        <item x="23"/>
        <item x="24"/>
        <item x="25"/>
        <item x="26"/>
        <item x="27"/>
        <item x="28"/>
        <item x="29"/>
        <item x="0"/>
        <item x="30"/>
        <item x="1"/>
        <item x="31"/>
        <item x="2"/>
        <item x="32"/>
        <item x="3"/>
        <item x="33"/>
        <item x="4"/>
        <item x="34"/>
        <item x="5"/>
        <item x="35"/>
        <item t="default"/>
      </items>
    </pivotField>
    <pivotField axis="axisRow" showAll="0">
      <items count="6">
        <item x="1"/>
        <item x="3"/>
        <item x="4"/>
        <item x="0"/>
        <item x="2"/>
        <item t="default"/>
      </items>
    </pivotField>
    <pivotField numFmtId="164" showAll="0">
      <items count="8">
        <item x="1"/>
        <item x="0"/>
        <item x="2"/>
        <item x="4"/>
        <item x="3"/>
        <item x="5"/>
        <item x="6"/>
        <item t="default"/>
      </items>
    </pivotField>
    <pivotField showAll="0"/>
    <pivotField multipleItemSelectionAllowed="1" showAll="0">
      <items count="4">
        <item x="2"/>
        <item x="1"/>
        <item x="0"/>
        <item t="default"/>
      </items>
    </pivotField>
    <pivotField multipleItemSelectionAllowed="1" showAll="0">
      <items count="4">
        <item x="2"/>
        <item x="1"/>
        <item x="0"/>
        <item t="default"/>
      </items>
    </pivotField>
    <pivotField showAll="0"/>
    <pivotField showAll="0"/>
    <pivotField dataField="1" numFmtId="164" showAll="0"/>
    <pivotField showAll="0"/>
  </pivotFields>
  <rowFields count="1">
    <field x="2"/>
  </rowFields>
  <rowItems count="6">
    <i>
      <x/>
    </i>
    <i>
      <x v="1"/>
    </i>
    <i>
      <x v="2"/>
    </i>
    <i>
      <x v="3"/>
    </i>
    <i>
      <x v="4"/>
    </i>
    <i t="grand">
      <x/>
    </i>
  </rowItems>
  <colItems count="1">
    <i/>
  </colItems>
  <dataFields count="1">
    <dataField name="Max of Goss sales" fld="9" subtotal="max" baseField="0" baseItem="0"/>
  </dataFields>
  <formats count="1">
    <format dxfId="2">
      <pivotArea dataOnly="0" labelOnly="1" grandRow="1" outline="0" fieldPosition="0"/>
    </format>
  </format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A9FF89-0C25-4C8D-B6C1-B05CD04D645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5:I9" firstHeaderRow="1" firstDataRow="1" firstDataCol="1"/>
  <pivotFields count="11">
    <pivotField showAll="0"/>
    <pivotField showAll="0"/>
    <pivotField showAll="0"/>
    <pivotField dataField="1" numFmtId="164" showAll="0"/>
    <pivotField showAll="0"/>
    <pivotField axis="axisRow" showAll="0">
      <items count="4">
        <item x="2"/>
        <item x="1"/>
        <item x="0"/>
        <item t="default"/>
      </items>
    </pivotField>
    <pivotField multipleItemSelectionAllowed="1" showAll="0">
      <items count="4">
        <item x="2"/>
        <item x="1"/>
        <item x="0"/>
        <item t="default"/>
      </items>
    </pivotField>
    <pivotField showAll="0"/>
    <pivotField showAll="0"/>
    <pivotField numFmtId="164" showAll="0"/>
    <pivotField showAll="0"/>
  </pivotFields>
  <rowFields count="1">
    <field x="5"/>
  </rowFields>
  <rowItems count="4">
    <i>
      <x/>
    </i>
    <i>
      <x v="1"/>
    </i>
    <i>
      <x v="2"/>
    </i>
    <i t="grand">
      <x/>
    </i>
  </rowItems>
  <colItems count="1">
    <i/>
  </colItems>
  <dataFields count="1">
    <dataField name="Count of Price" fld="3" subtotal="count" baseField="0" baseItem="0"/>
  </dataFields>
  <chartFormats count="8">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969DDD-E692-4BAE-90D2-3CB9040887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7:F43" firstHeaderRow="1" firstDataRow="1" firstDataCol="1"/>
  <pivotFields count="11">
    <pivotField showAll="0"/>
    <pivotField showAll="0"/>
    <pivotField axis="axisRow" showAll="0">
      <items count="6">
        <item x="1"/>
        <item x="3"/>
        <item x="4"/>
        <item x="0"/>
        <item x="2"/>
        <item t="default"/>
      </items>
    </pivotField>
    <pivotField numFmtId="164" showAll="0"/>
    <pivotField showAll="0"/>
    <pivotField showAll="0">
      <items count="4">
        <item x="2"/>
        <item x="1"/>
        <item x="0"/>
        <item t="default"/>
      </items>
    </pivotField>
    <pivotField multipleItemSelectionAllowed="1" showAll="0">
      <items count="4">
        <item x="2"/>
        <item x="1"/>
        <item x="0"/>
        <item t="default"/>
      </items>
    </pivotField>
    <pivotField showAll="0"/>
    <pivotField showAll="0"/>
    <pivotField dataField="1" numFmtId="164" showAll="0"/>
    <pivotField showAll="0"/>
  </pivotFields>
  <rowFields count="1">
    <field x="2"/>
  </rowFields>
  <rowItems count="6">
    <i>
      <x/>
    </i>
    <i>
      <x v="1"/>
    </i>
    <i>
      <x v="2"/>
    </i>
    <i>
      <x v="3"/>
    </i>
    <i>
      <x v="4"/>
    </i>
    <i t="grand">
      <x/>
    </i>
  </rowItems>
  <colItems count="1">
    <i/>
  </colItems>
  <dataFields count="1">
    <dataField name="Sum of Goss sales" fld="9" baseField="0" baseItem="0" numFmtId="165"/>
  </dataFields>
  <formats count="3">
    <format dxfId="5">
      <pivotArea collapsedLevelsAreSubtotals="1" fieldPosition="0">
        <references count="1">
          <reference field="2" count="1">
            <x v="0"/>
          </reference>
        </references>
      </pivotArea>
    </format>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8367E0-3AF9-4D08-BEBE-BB2A9967A01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21" firstHeaderRow="1" firstDataRow="1" firstDataCol="1"/>
  <pivotFields count="11">
    <pivotField showAll="0"/>
    <pivotField showAll="0"/>
    <pivotField showAll="0">
      <items count="6">
        <item x="1"/>
        <item x="3"/>
        <item x="4"/>
        <item x="0"/>
        <item x="2"/>
        <item t="default"/>
      </items>
    </pivotField>
    <pivotField dataField="1" numFmtId="164" showAll="0"/>
    <pivotField showAll="0"/>
    <pivotField showAll="0">
      <items count="4">
        <item x="2"/>
        <item x="1"/>
        <item x="0"/>
        <item t="default"/>
      </items>
    </pivotField>
    <pivotField showAll="0"/>
    <pivotField showAll="0"/>
    <pivotField showAll="0"/>
    <pivotField axis="axisRow" numFmtId="164" showAll="0" sortType="ascending">
      <items count="32">
        <item x="2"/>
        <item x="6"/>
        <item x="0"/>
        <item x="4"/>
        <item x="7"/>
        <item x="1"/>
        <item x="19"/>
        <item x="13"/>
        <item h="1" x="24"/>
        <item h="1" x="25"/>
        <item h="1" x="27"/>
        <item h="1" x="29"/>
        <item h="1" x="17"/>
        <item h="1" x="11"/>
        <item h="1" x="16"/>
        <item h="1" x="14"/>
        <item h="1" x="15"/>
        <item h="1" x="9"/>
        <item h="1" x="8"/>
        <item h="1" x="12"/>
        <item h="1" x="5"/>
        <item h="1" x="3"/>
        <item h="1" x="18"/>
        <item h="1" x="20"/>
        <item h="1" x="21"/>
        <item h="1" x="22"/>
        <item h="1" x="23"/>
        <item h="1" x="26"/>
        <item h="1" x="28"/>
        <item h="1" x="30"/>
        <item h="1" x="10"/>
        <item t="default"/>
      </items>
    </pivotField>
    <pivotField showAll="0"/>
  </pivotFields>
  <rowFields count="1">
    <field x="9"/>
  </rowFields>
  <rowItems count="9">
    <i>
      <x/>
    </i>
    <i>
      <x v="1"/>
    </i>
    <i>
      <x v="2"/>
    </i>
    <i>
      <x v="3"/>
    </i>
    <i>
      <x v="4"/>
    </i>
    <i>
      <x v="5"/>
    </i>
    <i>
      <x v="6"/>
    </i>
    <i>
      <x v="7"/>
    </i>
    <i t="grand">
      <x/>
    </i>
  </rowItems>
  <colItems count="1">
    <i/>
  </colItems>
  <dataFields count="1">
    <dataField name="Max of Price" fld="3" subtotal="max"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614EE2-39D8-4D89-A520-6B00F2E6F7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1">
    <pivotField showAll="0"/>
    <pivotField showAll="0"/>
    <pivotField axis="axisRow" showAll="0">
      <items count="6">
        <item x="1"/>
        <item x="3"/>
        <item x="4"/>
        <item x="0"/>
        <item x="2"/>
        <item t="default"/>
      </items>
    </pivotField>
    <pivotField dataField="1" numFmtId="164" showAll="0"/>
    <pivotField showAll="0">
      <items count="30">
        <item h="1" x="2"/>
        <item h="1" x="4"/>
        <item h="1" x="17"/>
        <item x="22"/>
        <item x="23"/>
        <item h="1" x="25"/>
        <item h="1" x="27"/>
        <item h="1" x="15"/>
        <item h="1" x="14"/>
        <item h="1" x="12"/>
        <item h="1" x="13"/>
        <item h="1" x="9"/>
        <item h="1" x="8"/>
        <item h="1" x="10"/>
        <item h="1" x="5"/>
        <item h="1" x="3"/>
        <item h="1" x="0"/>
        <item h="1" x="16"/>
        <item h="1" x="18"/>
        <item h="1" x="7"/>
        <item h="1" x="19"/>
        <item h="1" x="20"/>
        <item h="1" x="21"/>
        <item h="1" x="6"/>
        <item h="1" x="11"/>
        <item h="1" x="24"/>
        <item h="1" x="26"/>
        <item h="1" x="1"/>
        <item h="1" x="28"/>
        <item t="default"/>
      </items>
    </pivotField>
    <pivotField showAll="0">
      <items count="4">
        <item x="2"/>
        <item x="1"/>
        <item x="0"/>
        <item t="default"/>
      </items>
    </pivotField>
    <pivotField showAll="0"/>
    <pivotField showAll="0"/>
    <pivotField showAll="0"/>
    <pivotField numFmtId="164" showAll="0"/>
    <pivotField showAll="0"/>
  </pivotFields>
  <rowFields count="1">
    <field x="2"/>
  </rowFields>
  <rowItems count="6">
    <i>
      <x/>
    </i>
    <i>
      <x v="1"/>
    </i>
    <i>
      <x v="2"/>
    </i>
    <i>
      <x v="3"/>
    </i>
    <i>
      <x v="4"/>
    </i>
    <i t="grand">
      <x/>
    </i>
  </rowItems>
  <colItems count="1">
    <i/>
  </colItems>
  <dataFields count="1">
    <dataField name="Average of Price" fld="3"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E465D8B5-8C86-4E27-8900-C2969F0FE2E6}" sourceName="Purchase Type">
  <pivotTables>
    <pivotTable tabId="9" name="PivotTable6"/>
    <pivotTable tabId="9" name="PivotTable1"/>
    <pivotTable tabId="9" name="PivotTable2"/>
    <pivotTable tabId="9" name="PivotTable10"/>
    <pivotTable tabId="9" name="PivotTable11"/>
    <pivotTable tabId="9" name="PivotTable8"/>
  </pivotTables>
  <data>
    <tabular pivotCacheId="21822120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1410C8B-859C-4DFB-8075-2AE9C5E58901}" sourceName="Product">
  <pivotTables>
    <pivotTable tabId="9" name="PivotTable6"/>
    <pivotTable tabId="9" name="PivotTable8"/>
  </pivotTables>
  <data>
    <tabular pivotCacheId="218221209">
      <items count="5">
        <i x="1" s="1"/>
        <i x="3"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F56AFF7-17C3-42C0-969E-405E853171CC}" sourceName="Payment Method">
  <pivotTables>
    <pivotTable tabId="9" name="PivotTable11"/>
  </pivotTables>
  <data>
    <tabular pivotCacheId="21822120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0FB4158-38EF-4122-BAC7-5A380C2A7389}" sourceName="Month">
  <pivotTables>
    <pivotTable tabId="14" name="PivotTable4"/>
    <pivotTable tabId="14" name="PivotTable1"/>
  </pivotTables>
  <data>
    <tabular pivotCacheId="176932025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119454D-E111-4973-AE39-84A29B905B78}" sourceName="City">
  <pivotTables>
    <pivotTable tabId="14" name="PivotTable4"/>
    <pivotTable tabId="14" name="PivotTable1"/>
  </pivotTables>
  <data>
    <tabular pivotCacheId="1769320255">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1C3BEF1-C81B-4DB5-A722-3349F9C30543}" cache="Slicer_City" caption="City"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Type" xr10:uid="{2183DA1B-BA2D-4888-A27B-9574FF82E595}" cache="Slicer_Purchase_Type" caption="Purchase Type" style="Slicer Style 2" rowHeight="274320"/>
  <slicer name="Product" xr10:uid="{0D610A59-913E-4B59-80D6-E41B60569B60}" cache="Slicer_Product" caption="Product" columnCount="5" style="Slicer Style 2" rowHeight="274320"/>
  <slicer name="Payment Method" xr10:uid="{9996FC4B-1560-4AC0-970F-0A810674DCE8}" cache="Slicer_Payment_Method" caption="Payment Method" style="Slicer Style 2" rowHeight="274320"/>
  <slicer name="Month" xr10:uid="{B13D4EE4-308F-4FDA-B9EC-C30189B87461}" cache="Slicer_Month" caption="Month" style="Slicer Style 2" rowHeight="241300"/>
  <slicer name="City 1" xr10:uid="{EE73FEA6-550E-464E-A954-90CFAEE09B91}" cache="Slicer_City" caption="City"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pivotTable" Target="../pivotTables/pivotTable5.xml"/><Relationship Id="rId7"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5"/>
  <sheetViews>
    <sheetView workbookViewId="0">
      <selection activeCell="J13" sqref="J13"/>
    </sheetView>
  </sheetViews>
  <sheetFormatPr defaultRowHeight="15" x14ac:dyDescent="0.25"/>
  <cols>
    <col min="2" max="2" width="10.42578125" bestFit="1" customWidth="1"/>
  </cols>
  <sheetData>
    <row r="1" spans="1:9" x14ac:dyDescent="0.25">
      <c r="A1" t="s">
        <v>0</v>
      </c>
      <c r="B1" t="s">
        <v>1</v>
      </c>
      <c r="C1" t="s">
        <v>2</v>
      </c>
      <c r="D1" t="s">
        <v>3</v>
      </c>
      <c r="E1" t="s">
        <v>4</v>
      </c>
      <c r="F1" t="s">
        <v>5</v>
      </c>
      <c r="G1" t="s">
        <v>6</v>
      </c>
      <c r="H1" t="s">
        <v>7</v>
      </c>
      <c r="I1" t="s">
        <v>8</v>
      </c>
    </row>
    <row r="2" spans="1:9" x14ac:dyDescent="0.25">
      <c r="A2">
        <v>10452</v>
      </c>
      <c r="B2" s="1">
        <v>44753</v>
      </c>
      <c r="C2" t="s">
        <v>9</v>
      </c>
      <c r="D2">
        <v>3.49</v>
      </c>
      <c r="E2">
        <v>573.07000000000005</v>
      </c>
      <c r="F2" t="s">
        <v>10</v>
      </c>
      <c r="G2" t="s">
        <v>11</v>
      </c>
      <c r="H2" t="s">
        <v>12</v>
      </c>
      <c r="I2" t="s">
        <v>13</v>
      </c>
    </row>
    <row r="3" spans="1:9" x14ac:dyDescent="0.25">
      <c r="A3">
        <v>10453</v>
      </c>
      <c r="B3" s="1">
        <v>44753</v>
      </c>
      <c r="C3" t="s">
        <v>14</v>
      </c>
      <c r="D3">
        <v>2.95</v>
      </c>
      <c r="E3">
        <v>745.76</v>
      </c>
      <c r="F3" t="s">
        <v>10</v>
      </c>
      <c r="G3" t="s">
        <v>11</v>
      </c>
      <c r="H3" t="s">
        <v>15</v>
      </c>
      <c r="I3" t="s">
        <v>16</v>
      </c>
    </row>
    <row r="4" spans="1:9" x14ac:dyDescent="0.25">
      <c r="A4">
        <v>10454</v>
      </c>
      <c r="B4" s="1">
        <v>44753</v>
      </c>
      <c r="C4" t="s">
        <v>17</v>
      </c>
      <c r="D4">
        <v>4.99</v>
      </c>
      <c r="E4">
        <v>200.4</v>
      </c>
      <c r="F4" t="s">
        <v>18</v>
      </c>
      <c r="G4" t="s">
        <v>11</v>
      </c>
      <c r="H4" t="s">
        <v>19</v>
      </c>
      <c r="I4" t="s">
        <v>20</v>
      </c>
    </row>
    <row r="5" spans="1:9" x14ac:dyDescent="0.25">
      <c r="A5">
        <v>10455</v>
      </c>
      <c r="B5" s="1">
        <v>44784</v>
      </c>
      <c r="C5" t="s">
        <v>21</v>
      </c>
      <c r="D5">
        <v>12.99</v>
      </c>
      <c r="E5">
        <v>569.66999999999996</v>
      </c>
      <c r="F5" t="s">
        <v>18</v>
      </c>
      <c r="G5" t="s">
        <v>22</v>
      </c>
      <c r="H5" t="s">
        <v>23</v>
      </c>
      <c r="I5" t="s">
        <v>24</v>
      </c>
    </row>
    <row r="6" spans="1:9" x14ac:dyDescent="0.25">
      <c r="A6">
        <v>10456</v>
      </c>
      <c r="B6" s="1">
        <v>44784</v>
      </c>
      <c r="C6" t="s">
        <v>25</v>
      </c>
      <c r="D6">
        <v>9.9499999999999993</v>
      </c>
      <c r="E6">
        <v>201.01</v>
      </c>
      <c r="F6" t="s">
        <v>18</v>
      </c>
      <c r="G6" t="s">
        <v>22</v>
      </c>
      <c r="H6" t="s">
        <v>23</v>
      </c>
      <c r="I6" t="s">
        <v>24</v>
      </c>
    </row>
    <row r="7" spans="1:9" x14ac:dyDescent="0.25">
      <c r="A7">
        <v>10457</v>
      </c>
      <c r="B7" s="1">
        <v>44784</v>
      </c>
      <c r="C7" t="s">
        <v>9</v>
      </c>
      <c r="D7">
        <v>3.49</v>
      </c>
      <c r="E7">
        <v>573.07000000000005</v>
      </c>
      <c r="F7" t="s">
        <v>18</v>
      </c>
      <c r="G7" t="s">
        <v>22</v>
      </c>
      <c r="H7" t="s">
        <v>26</v>
      </c>
      <c r="I7" t="s">
        <v>27</v>
      </c>
    </row>
    <row r="8" spans="1:9" x14ac:dyDescent="0.25">
      <c r="A8">
        <v>10459</v>
      </c>
      <c r="B8" s="1">
        <v>44784</v>
      </c>
      <c r="C8" t="s">
        <v>17</v>
      </c>
      <c r="D8">
        <v>4.99</v>
      </c>
      <c r="E8">
        <v>200.4</v>
      </c>
      <c r="F8" t="s">
        <v>18</v>
      </c>
      <c r="G8" t="s">
        <v>22</v>
      </c>
      <c r="H8" t="s">
        <v>23</v>
      </c>
      <c r="I8" t="s">
        <v>24</v>
      </c>
    </row>
    <row r="9" spans="1:9" x14ac:dyDescent="0.25">
      <c r="A9">
        <v>10460</v>
      </c>
      <c r="B9" s="1">
        <v>44815</v>
      </c>
      <c r="C9" t="s">
        <v>21</v>
      </c>
      <c r="D9">
        <v>12.99</v>
      </c>
      <c r="E9">
        <v>554.27</v>
      </c>
      <c r="F9" t="s">
        <v>18</v>
      </c>
      <c r="G9" t="s">
        <v>22</v>
      </c>
      <c r="H9" t="s">
        <v>28</v>
      </c>
      <c r="I9" t="s">
        <v>27</v>
      </c>
    </row>
    <row r="10" spans="1:9" x14ac:dyDescent="0.25">
      <c r="A10">
        <v>10461</v>
      </c>
      <c r="B10" s="1">
        <v>44815</v>
      </c>
      <c r="C10" t="s">
        <v>25</v>
      </c>
      <c r="D10">
        <v>9.9499999999999993</v>
      </c>
      <c r="E10">
        <v>201.01</v>
      </c>
      <c r="F10" t="s">
        <v>18</v>
      </c>
      <c r="G10" t="s">
        <v>22</v>
      </c>
      <c r="H10" t="s">
        <v>28</v>
      </c>
      <c r="I10" t="s">
        <v>27</v>
      </c>
    </row>
    <row r="11" spans="1:9" x14ac:dyDescent="0.25">
      <c r="A11">
        <v>10462</v>
      </c>
      <c r="B11" s="1">
        <v>44815</v>
      </c>
      <c r="C11" t="s">
        <v>9</v>
      </c>
      <c r="D11">
        <v>3.49</v>
      </c>
      <c r="E11">
        <v>573.07000000000005</v>
      </c>
      <c r="F11" t="s">
        <v>18</v>
      </c>
      <c r="G11" t="s">
        <v>22</v>
      </c>
      <c r="H11" t="s">
        <v>29</v>
      </c>
      <c r="I11" t="s">
        <v>27</v>
      </c>
    </row>
    <row r="12" spans="1:9" x14ac:dyDescent="0.25">
      <c r="A12">
        <v>10463</v>
      </c>
      <c r="B12" s="1">
        <v>44815</v>
      </c>
      <c r="C12" t="s">
        <v>14</v>
      </c>
      <c r="D12">
        <v>2.95</v>
      </c>
      <c r="E12">
        <v>677.97</v>
      </c>
      <c r="F12" t="s">
        <v>18</v>
      </c>
      <c r="G12" t="s">
        <v>22</v>
      </c>
      <c r="H12" t="s">
        <v>29</v>
      </c>
      <c r="I12" t="s">
        <v>27</v>
      </c>
    </row>
    <row r="13" spans="1:9" x14ac:dyDescent="0.25">
      <c r="A13">
        <v>10464</v>
      </c>
      <c r="B13" s="1">
        <v>44815</v>
      </c>
      <c r="C13" t="s">
        <v>17</v>
      </c>
      <c r="D13">
        <v>4.99</v>
      </c>
      <c r="E13">
        <v>200.4</v>
      </c>
      <c r="F13" t="s">
        <v>18</v>
      </c>
      <c r="G13" t="s">
        <v>22</v>
      </c>
      <c r="H13" t="s">
        <v>30</v>
      </c>
      <c r="I13" t="s">
        <v>27</v>
      </c>
    </row>
    <row r="14" spans="1:9" x14ac:dyDescent="0.25">
      <c r="A14">
        <v>10465</v>
      </c>
      <c r="B14" s="1">
        <v>44845</v>
      </c>
      <c r="C14" t="s">
        <v>21</v>
      </c>
      <c r="D14">
        <v>12.99</v>
      </c>
      <c r="E14">
        <v>554.27</v>
      </c>
      <c r="F14" t="s">
        <v>18</v>
      </c>
      <c r="G14" t="s">
        <v>22</v>
      </c>
      <c r="H14" t="s">
        <v>31</v>
      </c>
      <c r="I14" t="s">
        <v>16</v>
      </c>
    </row>
    <row r="15" spans="1:9" x14ac:dyDescent="0.25">
      <c r="A15">
        <v>10466</v>
      </c>
      <c r="B15" s="1">
        <v>44845</v>
      </c>
      <c r="C15" t="s">
        <v>25</v>
      </c>
      <c r="D15">
        <v>9.9499999999999993</v>
      </c>
      <c r="E15">
        <v>201.01</v>
      </c>
      <c r="F15" t="s">
        <v>18</v>
      </c>
      <c r="G15" t="s">
        <v>22</v>
      </c>
      <c r="H15" t="s">
        <v>31</v>
      </c>
      <c r="I15" t="s">
        <v>16</v>
      </c>
    </row>
    <row r="16" spans="1:9" x14ac:dyDescent="0.25">
      <c r="A16">
        <v>10467</v>
      </c>
      <c r="B16" s="1">
        <v>44845</v>
      </c>
      <c r="C16" t="s">
        <v>9</v>
      </c>
      <c r="D16">
        <v>3.49</v>
      </c>
      <c r="E16">
        <v>573.07000000000005</v>
      </c>
      <c r="F16" t="s">
        <v>18</v>
      </c>
      <c r="G16" t="s">
        <v>22</v>
      </c>
      <c r="H16" t="s">
        <v>31</v>
      </c>
      <c r="I16" t="s">
        <v>16</v>
      </c>
    </row>
    <row r="17" spans="1:9" x14ac:dyDescent="0.25">
      <c r="A17">
        <v>10468</v>
      </c>
      <c r="B17" s="1">
        <v>44845</v>
      </c>
      <c r="C17" t="s">
        <v>14</v>
      </c>
      <c r="D17">
        <v>2.95</v>
      </c>
      <c r="E17">
        <v>677.97</v>
      </c>
      <c r="F17" t="s">
        <v>18</v>
      </c>
      <c r="G17" t="s">
        <v>22</v>
      </c>
      <c r="H17" t="s">
        <v>15</v>
      </c>
      <c r="I17" t="s">
        <v>16</v>
      </c>
    </row>
    <row r="18" spans="1:9" x14ac:dyDescent="0.25">
      <c r="A18">
        <v>10470</v>
      </c>
      <c r="B18" s="1">
        <v>44876</v>
      </c>
      <c r="C18" t="s">
        <v>21</v>
      </c>
      <c r="D18">
        <v>12.99</v>
      </c>
      <c r="E18">
        <v>554.27</v>
      </c>
      <c r="F18" t="s">
        <v>18</v>
      </c>
      <c r="G18" t="s">
        <v>22</v>
      </c>
      <c r="H18" t="s">
        <v>15</v>
      </c>
      <c r="I18" t="s">
        <v>16</v>
      </c>
    </row>
    <row r="19" spans="1:9" x14ac:dyDescent="0.25">
      <c r="A19">
        <v>10471</v>
      </c>
      <c r="B19" s="1">
        <v>44876</v>
      </c>
      <c r="C19" t="s">
        <v>25</v>
      </c>
      <c r="D19">
        <v>9.9499999999999993</v>
      </c>
      <c r="E19">
        <v>201.01</v>
      </c>
      <c r="F19" t="s">
        <v>18</v>
      </c>
      <c r="G19" t="s">
        <v>22</v>
      </c>
      <c r="H19" t="s">
        <v>15</v>
      </c>
      <c r="I19" t="s">
        <v>16</v>
      </c>
    </row>
    <row r="20" spans="1:9" x14ac:dyDescent="0.25">
      <c r="A20">
        <v>10472</v>
      </c>
      <c r="B20" s="1">
        <v>44876</v>
      </c>
      <c r="C20" t="s">
        <v>9</v>
      </c>
      <c r="D20">
        <v>3.49</v>
      </c>
      <c r="E20">
        <v>630.37</v>
      </c>
      <c r="F20" t="s">
        <v>18</v>
      </c>
      <c r="G20" t="s">
        <v>22</v>
      </c>
      <c r="H20" t="s">
        <v>32</v>
      </c>
      <c r="I20" t="s">
        <v>16</v>
      </c>
    </row>
    <row r="21" spans="1:9" x14ac:dyDescent="0.25">
      <c r="A21">
        <v>10473</v>
      </c>
      <c r="B21" s="1">
        <v>44876</v>
      </c>
      <c r="C21" t="s">
        <v>14</v>
      </c>
      <c r="D21">
        <v>2.95</v>
      </c>
      <c r="E21">
        <v>677.97</v>
      </c>
      <c r="F21" t="s">
        <v>18</v>
      </c>
      <c r="G21" t="s">
        <v>22</v>
      </c>
      <c r="H21" t="s">
        <v>15</v>
      </c>
      <c r="I21" t="s">
        <v>16</v>
      </c>
    </row>
    <row r="22" spans="1:9" x14ac:dyDescent="0.25">
      <c r="A22">
        <v>10474</v>
      </c>
      <c r="B22" s="1">
        <v>44876</v>
      </c>
      <c r="C22" t="s">
        <v>17</v>
      </c>
      <c r="D22">
        <v>4.99</v>
      </c>
      <c r="E22">
        <v>200.4</v>
      </c>
      <c r="F22" t="s">
        <v>18</v>
      </c>
      <c r="G22" t="s">
        <v>22</v>
      </c>
      <c r="H22" t="s">
        <v>15</v>
      </c>
      <c r="I22" t="s">
        <v>16</v>
      </c>
    </row>
    <row r="23" spans="1:9" x14ac:dyDescent="0.25">
      <c r="A23">
        <v>10475</v>
      </c>
      <c r="B23" s="1">
        <v>44906</v>
      </c>
      <c r="C23" t="s">
        <v>21</v>
      </c>
      <c r="D23">
        <v>12.99</v>
      </c>
      <c r="E23">
        <v>523.48</v>
      </c>
      <c r="F23" t="s">
        <v>18</v>
      </c>
      <c r="G23" t="s">
        <v>22</v>
      </c>
      <c r="H23" t="s">
        <v>15</v>
      </c>
      <c r="I23" t="s">
        <v>16</v>
      </c>
    </row>
    <row r="24" spans="1:9" x14ac:dyDescent="0.25">
      <c r="A24">
        <v>10476</v>
      </c>
      <c r="B24" s="1">
        <v>44906</v>
      </c>
      <c r="C24" t="s">
        <v>25</v>
      </c>
      <c r="D24">
        <v>9.9499999999999993</v>
      </c>
      <c r="E24">
        <v>201.01</v>
      </c>
      <c r="F24" t="s">
        <v>18</v>
      </c>
      <c r="G24" t="s">
        <v>22</v>
      </c>
      <c r="H24" t="s">
        <v>31</v>
      </c>
      <c r="I24" t="s">
        <v>16</v>
      </c>
    </row>
    <row r="25" spans="1:9" x14ac:dyDescent="0.25">
      <c r="A25">
        <v>10477</v>
      </c>
      <c r="B25" s="1">
        <v>44906</v>
      </c>
      <c r="C25" t="s">
        <v>9</v>
      </c>
      <c r="D25">
        <v>3.49</v>
      </c>
      <c r="E25">
        <v>630.37</v>
      </c>
      <c r="F25" t="s">
        <v>18</v>
      </c>
      <c r="G25" t="s">
        <v>22</v>
      </c>
      <c r="H25" t="s">
        <v>33</v>
      </c>
      <c r="I25" t="s">
        <v>16</v>
      </c>
    </row>
    <row r="26" spans="1:9" x14ac:dyDescent="0.25">
      <c r="A26">
        <v>10478</v>
      </c>
      <c r="B26" s="1">
        <v>44906</v>
      </c>
      <c r="C26" t="s">
        <v>14</v>
      </c>
      <c r="D26">
        <v>2.95</v>
      </c>
      <c r="E26">
        <v>677.97</v>
      </c>
      <c r="F26" t="s">
        <v>18</v>
      </c>
      <c r="G26" t="s">
        <v>22</v>
      </c>
      <c r="H26" t="s">
        <v>31</v>
      </c>
      <c r="I26" t="s">
        <v>16</v>
      </c>
    </row>
    <row r="27" spans="1:9" x14ac:dyDescent="0.25">
      <c r="A27">
        <v>10479</v>
      </c>
      <c r="B27" s="1">
        <v>44906</v>
      </c>
      <c r="C27" t="s">
        <v>17</v>
      </c>
      <c r="D27">
        <v>4.99</v>
      </c>
      <c r="E27">
        <v>200.4</v>
      </c>
      <c r="F27" t="s">
        <v>18</v>
      </c>
      <c r="G27" t="s">
        <v>22</v>
      </c>
      <c r="H27" t="s">
        <v>34</v>
      </c>
      <c r="I27" t="s">
        <v>16</v>
      </c>
    </row>
    <row r="28" spans="1:9" x14ac:dyDescent="0.25">
      <c r="A28">
        <v>10480</v>
      </c>
      <c r="B28" t="s">
        <v>35</v>
      </c>
      <c r="C28" t="s">
        <v>21</v>
      </c>
      <c r="D28">
        <v>12.99</v>
      </c>
      <c r="E28">
        <v>508.08</v>
      </c>
      <c r="F28" t="s">
        <v>18</v>
      </c>
      <c r="G28" t="s">
        <v>22</v>
      </c>
      <c r="H28" t="s">
        <v>31</v>
      </c>
      <c r="I28" t="s">
        <v>16</v>
      </c>
    </row>
    <row r="29" spans="1:9" x14ac:dyDescent="0.25">
      <c r="A29">
        <v>10481</v>
      </c>
      <c r="B29" t="s">
        <v>35</v>
      </c>
      <c r="C29" t="s">
        <v>25</v>
      </c>
      <c r="D29">
        <v>9.9499999999999993</v>
      </c>
      <c r="E29">
        <v>201.01</v>
      </c>
      <c r="F29" t="s">
        <v>18</v>
      </c>
      <c r="G29" t="s">
        <v>22</v>
      </c>
      <c r="H29" t="s">
        <v>31</v>
      </c>
      <c r="I29" t="s">
        <v>16</v>
      </c>
    </row>
    <row r="30" spans="1:9" x14ac:dyDescent="0.25">
      <c r="A30">
        <v>10482</v>
      </c>
      <c r="B30" t="s">
        <v>35</v>
      </c>
      <c r="C30" t="s">
        <v>9</v>
      </c>
      <c r="D30">
        <v>25.5</v>
      </c>
      <c r="E30">
        <v>630.37</v>
      </c>
      <c r="F30" t="s">
        <v>18</v>
      </c>
      <c r="G30" t="s">
        <v>22</v>
      </c>
      <c r="H30" t="s">
        <v>36</v>
      </c>
      <c r="I30" t="s">
        <v>20</v>
      </c>
    </row>
    <row r="31" spans="1:9" x14ac:dyDescent="0.25">
      <c r="A31">
        <v>10486</v>
      </c>
      <c r="B31" t="s">
        <v>37</v>
      </c>
      <c r="C31" t="s">
        <v>25</v>
      </c>
      <c r="D31">
        <v>29.05</v>
      </c>
      <c r="E31">
        <v>201.01</v>
      </c>
      <c r="F31" t="s">
        <v>18</v>
      </c>
      <c r="G31" t="s">
        <v>22</v>
      </c>
      <c r="H31" t="s">
        <v>19</v>
      </c>
      <c r="I31" t="s">
        <v>20</v>
      </c>
    </row>
    <row r="32" spans="1:9" x14ac:dyDescent="0.25">
      <c r="A32">
        <v>10487</v>
      </c>
      <c r="B32" t="s">
        <v>37</v>
      </c>
      <c r="C32" t="s">
        <v>9</v>
      </c>
      <c r="D32">
        <v>3.49</v>
      </c>
      <c r="E32">
        <v>630.37</v>
      </c>
      <c r="F32" t="s">
        <v>18</v>
      </c>
      <c r="G32" t="s">
        <v>22</v>
      </c>
      <c r="H32" t="s">
        <v>36</v>
      </c>
      <c r="I32" t="s">
        <v>20</v>
      </c>
    </row>
    <row r="33" spans="1:9" x14ac:dyDescent="0.25">
      <c r="A33">
        <v>10488</v>
      </c>
      <c r="B33" t="s">
        <v>37</v>
      </c>
      <c r="C33" t="s">
        <v>14</v>
      </c>
      <c r="D33">
        <v>2.95</v>
      </c>
      <c r="E33">
        <v>677.97</v>
      </c>
      <c r="F33" t="s">
        <v>18</v>
      </c>
      <c r="G33" t="s">
        <v>22</v>
      </c>
      <c r="H33" t="s">
        <v>36</v>
      </c>
      <c r="I33" t="s">
        <v>20</v>
      </c>
    </row>
    <row r="34" spans="1:9" x14ac:dyDescent="0.25">
      <c r="A34">
        <v>10489</v>
      </c>
      <c r="B34" t="s">
        <v>37</v>
      </c>
      <c r="C34" t="s">
        <v>17</v>
      </c>
      <c r="D34">
        <v>4.99</v>
      </c>
      <c r="E34">
        <v>200.4</v>
      </c>
      <c r="F34" t="s">
        <v>18</v>
      </c>
      <c r="G34" t="s">
        <v>22</v>
      </c>
      <c r="H34" t="s">
        <v>31</v>
      </c>
      <c r="I34" t="s">
        <v>16</v>
      </c>
    </row>
    <row r="35" spans="1:9" x14ac:dyDescent="0.25">
      <c r="A35">
        <v>10490</v>
      </c>
      <c r="B35" t="s">
        <v>38</v>
      </c>
      <c r="C35" t="s">
        <v>21</v>
      </c>
      <c r="D35">
        <v>12.99</v>
      </c>
      <c r="E35">
        <v>508.08</v>
      </c>
      <c r="F35" t="s">
        <v>18</v>
      </c>
      <c r="G35" t="s">
        <v>22</v>
      </c>
      <c r="H35" t="s">
        <v>31</v>
      </c>
      <c r="I35" t="s">
        <v>16</v>
      </c>
    </row>
    <row r="36" spans="1:9" x14ac:dyDescent="0.25">
      <c r="A36">
        <v>10491</v>
      </c>
      <c r="B36" t="s">
        <v>38</v>
      </c>
      <c r="C36" t="s">
        <v>25</v>
      </c>
      <c r="D36">
        <v>9.9499999999999993</v>
      </c>
      <c r="E36">
        <v>201.01</v>
      </c>
      <c r="F36" t="s">
        <v>18</v>
      </c>
      <c r="G36" t="s">
        <v>22</v>
      </c>
      <c r="H36" t="s">
        <v>31</v>
      </c>
      <c r="I36" t="s">
        <v>16</v>
      </c>
    </row>
    <row r="37" spans="1:9" x14ac:dyDescent="0.25">
      <c r="A37">
        <v>10492</v>
      </c>
      <c r="B37" t="s">
        <v>38</v>
      </c>
      <c r="C37" t="s">
        <v>9</v>
      </c>
      <c r="D37">
        <v>3.49</v>
      </c>
      <c r="E37">
        <v>573.07000000000005</v>
      </c>
      <c r="F37" t="s">
        <v>18</v>
      </c>
      <c r="G37" t="s">
        <v>22</v>
      </c>
      <c r="H37" t="s">
        <v>31</v>
      </c>
      <c r="I37" t="s">
        <v>16</v>
      </c>
    </row>
    <row r="38" spans="1:9" x14ac:dyDescent="0.25">
      <c r="A38">
        <v>10493</v>
      </c>
      <c r="B38" t="s">
        <v>38</v>
      </c>
      <c r="C38" t="s">
        <v>14</v>
      </c>
      <c r="D38">
        <v>2.95</v>
      </c>
      <c r="E38">
        <v>677.97</v>
      </c>
      <c r="F38" t="s">
        <v>18</v>
      </c>
      <c r="G38" t="s">
        <v>22</v>
      </c>
      <c r="H38" t="s">
        <v>31</v>
      </c>
      <c r="I38" t="s">
        <v>16</v>
      </c>
    </row>
    <row r="39" spans="1:9" x14ac:dyDescent="0.25">
      <c r="A39">
        <v>10494</v>
      </c>
      <c r="B39" t="s">
        <v>38</v>
      </c>
      <c r="C39" t="s">
        <v>17</v>
      </c>
      <c r="D39">
        <v>4.99</v>
      </c>
      <c r="E39">
        <v>200.4</v>
      </c>
      <c r="F39" t="s">
        <v>18</v>
      </c>
      <c r="G39" t="s">
        <v>22</v>
      </c>
      <c r="H39" t="s">
        <v>31</v>
      </c>
      <c r="I39" t="s">
        <v>16</v>
      </c>
    </row>
    <row r="40" spans="1:9" x14ac:dyDescent="0.25">
      <c r="A40">
        <v>10495</v>
      </c>
      <c r="B40" t="s">
        <v>39</v>
      </c>
      <c r="C40" t="s">
        <v>21</v>
      </c>
      <c r="D40">
        <v>12.99</v>
      </c>
      <c r="E40">
        <v>508.08</v>
      </c>
      <c r="F40" t="s">
        <v>18</v>
      </c>
      <c r="G40" t="s">
        <v>22</v>
      </c>
      <c r="H40" t="s">
        <v>31</v>
      </c>
      <c r="I40" t="s">
        <v>16</v>
      </c>
    </row>
    <row r="41" spans="1:9" x14ac:dyDescent="0.25">
      <c r="A41">
        <v>10496</v>
      </c>
      <c r="B41" t="s">
        <v>39</v>
      </c>
      <c r="C41" t="s">
        <v>25</v>
      </c>
      <c r="D41">
        <v>9.9499999999999993</v>
      </c>
      <c r="E41">
        <v>201.01</v>
      </c>
      <c r="F41" t="s">
        <v>18</v>
      </c>
      <c r="G41" t="s">
        <v>22</v>
      </c>
      <c r="H41" t="s">
        <v>31</v>
      </c>
      <c r="I41" t="s">
        <v>16</v>
      </c>
    </row>
    <row r="42" spans="1:9" x14ac:dyDescent="0.25">
      <c r="A42">
        <v>10497</v>
      </c>
      <c r="B42" t="s">
        <v>39</v>
      </c>
      <c r="C42" t="s">
        <v>9</v>
      </c>
      <c r="D42">
        <v>3.49</v>
      </c>
      <c r="E42">
        <v>573.07000000000005</v>
      </c>
      <c r="F42" t="s">
        <v>18</v>
      </c>
      <c r="G42" t="s">
        <v>22</v>
      </c>
      <c r="H42" t="s">
        <v>31</v>
      </c>
      <c r="I42" t="s">
        <v>16</v>
      </c>
    </row>
    <row r="43" spans="1:9" x14ac:dyDescent="0.25">
      <c r="A43">
        <v>10498</v>
      </c>
      <c r="B43" t="s">
        <v>39</v>
      </c>
      <c r="C43" t="s">
        <v>14</v>
      </c>
      <c r="D43">
        <v>2.95</v>
      </c>
      <c r="E43">
        <v>677.97</v>
      </c>
      <c r="F43" t="s">
        <v>40</v>
      </c>
      <c r="G43" t="s">
        <v>22</v>
      </c>
      <c r="H43" t="s">
        <v>31</v>
      </c>
      <c r="I43" t="s">
        <v>16</v>
      </c>
    </row>
    <row r="44" spans="1:9" x14ac:dyDescent="0.25">
      <c r="A44">
        <v>10499</v>
      </c>
      <c r="B44" t="s">
        <v>39</v>
      </c>
      <c r="C44" t="s">
        <v>17</v>
      </c>
      <c r="D44">
        <v>4.99</v>
      </c>
      <c r="E44">
        <v>200.4</v>
      </c>
      <c r="F44" t="s">
        <v>40</v>
      </c>
      <c r="G44" t="s">
        <v>22</v>
      </c>
      <c r="H44" t="s">
        <v>31</v>
      </c>
      <c r="I44" t="s">
        <v>16</v>
      </c>
    </row>
    <row r="45" spans="1:9" x14ac:dyDescent="0.25">
      <c r="A45">
        <v>10500</v>
      </c>
      <c r="B45" t="s">
        <v>41</v>
      </c>
      <c r="C45" t="s">
        <v>21</v>
      </c>
      <c r="D45">
        <v>12.99</v>
      </c>
      <c r="E45">
        <v>523.48</v>
      </c>
      <c r="F45" t="s">
        <v>40</v>
      </c>
      <c r="G45" t="s">
        <v>22</v>
      </c>
      <c r="H45" t="s">
        <v>31</v>
      </c>
      <c r="I45" t="s">
        <v>16</v>
      </c>
    </row>
    <row r="46" spans="1:9" x14ac:dyDescent="0.25">
      <c r="A46">
        <v>10501</v>
      </c>
      <c r="B46" t="s">
        <v>41</v>
      </c>
      <c r="C46" t="s">
        <v>25</v>
      </c>
      <c r="D46">
        <v>9.9499999999999993</v>
      </c>
      <c r="E46">
        <v>201.01</v>
      </c>
      <c r="F46" t="s">
        <v>40</v>
      </c>
      <c r="G46" t="s">
        <v>22</v>
      </c>
      <c r="H46" t="s">
        <v>31</v>
      </c>
      <c r="I46" t="s">
        <v>16</v>
      </c>
    </row>
    <row r="47" spans="1:9" x14ac:dyDescent="0.25">
      <c r="A47">
        <v>10502</v>
      </c>
      <c r="B47" t="s">
        <v>41</v>
      </c>
      <c r="C47" t="s">
        <v>9</v>
      </c>
      <c r="D47">
        <v>3.49</v>
      </c>
      <c r="E47">
        <v>630.37</v>
      </c>
      <c r="F47" t="s">
        <v>40</v>
      </c>
      <c r="G47" t="s">
        <v>22</v>
      </c>
      <c r="H47" t="s">
        <v>31</v>
      </c>
      <c r="I47" t="s">
        <v>16</v>
      </c>
    </row>
    <row r="48" spans="1:9" x14ac:dyDescent="0.25">
      <c r="A48">
        <v>10503</v>
      </c>
      <c r="B48" t="s">
        <v>41</v>
      </c>
      <c r="C48" t="s">
        <v>14</v>
      </c>
      <c r="D48">
        <v>2.95</v>
      </c>
      <c r="E48">
        <v>677.97</v>
      </c>
      <c r="F48" t="s">
        <v>40</v>
      </c>
      <c r="G48" t="s">
        <v>22</v>
      </c>
      <c r="H48" t="s">
        <v>31</v>
      </c>
      <c r="I48" t="s">
        <v>16</v>
      </c>
    </row>
    <row r="49" spans="1:9" x14ac:dyDescent="0.25">
      <c r="A49">
        <v>10504</v>
      </c>
      <c r="B49" t="s">
        <v>41</v>
      </c>
      <c r="C49" t="s">
        <v>17</v>
      </c>
      <c r="D49">
        <v>4.99</v>
      </c>
      <c r="E49">
        <v>200.4</v>
      </c>
      <c r="F49" t="s">
        <v>40</v>
      </c>
      <c r="G49" t="s">
        <v>22</v>
      </c>
      <c r="H49" t="s">
        <v>31</v>
      </c>
      <c r="I49" t="s">
        <v>16</v>
      </c>
    </row>
    <row r="50" spans="1:9" x14ac:dyDescent="0.25">
      <c r="A50">
        <v>10505</v>
      </c>
      <c r="B50" t="s">
        <v>42</v>
      </c>
      <c r="C50" t="s">
        <v>21</v>
      </c>
      <c r="D50">
        <v>12.99</v>
      </c>
      <c r="E50">
        <v>538.88</v>
      </c>
      <c r="F50" t="s">
        <v>40</v>
      </c>
      <c r="G50" t="s">
        <v>22</v>
      </c>
      <c r="H50" t="s">
        <v>31</v>
      </c>
      <c r="I50" t="s">
        <v>16</v>
      </c>
    </row>
    <row r="51" spans="1:9" x14ac:dyDescent="0.25">
      <c r="A51">
        <v>10506</v>
      </c>
      <c r="B51" t="s">
        <v>42</v>
      </c>
      <c r="C51" t="s">
        <v>25</v>
      </c>
      <c r="D51">
        <v>9.9499999999999993</v>
      </c>
      <c r="E51">
        <v>201.01</v>
      </c>
      <c r="F51" t="s">
        <v>40</v>
      </c>
      <c r="G51" t="s">
        <v>22</v>
      </c>
      <c r="H51" t="s">
        <v>31</v>
      </c>
      <c r="I51" t="s">
        <v>16</v>
      </c>
    </row>
    <row r="52" spans="1:9" x14ac:dyDescent="0.25">
      <c r="A52">
        <v>10507</v>
      </c>
      <c r="B52" t="s">
        <v>42</v>
      </c>
      <c r="C52" t="s">
        <v>9</v>
      </c>
      <c r="D52">
        <v>3.49</v>
      </c>
      <c r="E52">
        <v>687.68</v>
      </c>
      <c r="F52" t="s">
        <v>40</v>
      </c>
      <c r="G52" t="s">
        <v>22</v>
      </c>
      <c r="H52" t="s">
        <v>31</v>
      </c>
      <c r="I52" t="s">
        <v>16</v>
      </c>
    </row>
    <row r="53" spans="1:9" x14ac:dyDescent="0.25">
      <c r="A53">
        <v>10508</v>
      </c>
      <c r="B53" t="s">
        <v>42</v>
      </c>
      <c r="C53" t="s">
        <v>14</v>
      </c>
      <c r="D53">
        <v>2.95</v>
      </c>
      <c r="E53">
        <v>677.97</v>
      </c>
      <c r="F53" t="s">
        <v>40</v>
      </c>
      <c r="G53" t="s">
        <v>22</v>
      </c>
      <c r="H53" t="s">
        <v>31</v>
      </c>
      <c r="I53" t="s">
        <v>16</v>
      </c>
    </row>
    <row r="54" spans="1:9" x14ac:dyDescent="0.25">
      <c r="A54">
        <v>10509</v>
      </c>
      <c r="B54" t="s">
        <v>42</v>
      </c>
      <c r="C54" t="s">
        <v>17</v>
      </c>
      <c r="D54">
        <v>4.99</v>
      </c>
      <c r="E54">
        <v>200.4</v>
      </c>
      <c r="F54" t="s">
        <v>40</v>
      </c>
      <c r="G54" t="s">
        <v>22</v>
      </c>
      <c r="H54" t="s">
        <v>31</v>
      </c>
      <c r="I54" t="s">
        <v>16</v>
      </c>
    </row>
    <row r="55" spans="1:9" x14ac:dyDescent="0.25">
      <c r="A55">
        <v>10510</v>
      </c>
      <c r="B55" t="s">
        <v>43</v>
      </c>
      <c r="C55" t="s">
        <v>21</v>
      </c>
      <c r="D55">
        <v>12.99</v>
      </c>
      <c r="E55">
        <v>508.08</v>
      </c>
      <c r="F55" t="s">
        <v>40</v>
      </c>
      <c r="G55" t="s">
        <v>22</v>
      </c>
      <c r="H55" t="s">
        <v>31</v>
      </c>
      <c r="I55" t="s">
        <v>16</v>
      </c>
    </row>
    <row r="56" spans="1:9" x14ac:dyDescent="0.25">
      <c r="A56">
        <v>10511</v>
      </c>
      <c r="B56" t="s">
        <v>43</v>
      </c>
      <c r="C56" t="s">
        <v>25</v>
      </c>
      <c r="D56">
        <v>9.9499999999999993</v>
      </c>
      <c r="E56">
        <v>201.01</v>
      </c>
      <c r="F56" t="s">
        <v>40</v>
      </c>
      <c r="G56" t="s">
        <v>22</v>
      </c>
      <c r="H56" t="s">
        <v>36</v>
      </c>
      <c r="I56" t="s">
        <v>20</v>
      </c>
    </row>
    <row r="57" spans="1:9" x14ac:dyDescent="0.25">
      <c r="A57">
        <v>10512</v>
      </c>
      <c r="B57" t="s">
        <v>43</v>
      </c>
      <c r="C57" t="s">
        <v>9</v>
      </c>
      <c r="D57">
        <v>3.49</v>
      </c>
      <c r="E57">
        <v>687.68</v>
      </c>
      <c r="F57" t="s">
        <v>40</v>
      </c>
      <c r="G57" t="s">
        <v>22</v>
      </c>
      <c r="H57" t="s">
        <v>36</v>
      </c>
      <c r="I57" t="s">
        <v>20</v>
      </c>
    </row>
    <row r="58" spans="1:9" x14ac:dyDescent="0.25">
      <c r="A58">
        <v>10513</v>
      </c>
      <c r="B58" t="s">
        <v>43</v>
      </c>
      <c r="C58" t="s">
        <v>14</v>
      </c>
      <c r="D58">
        <v>2.95</v>
      </c>
      <c r="E58">
        <v>677.97</v>
      </c>
      <c r="F58" t="s">
        <v>40</v>
      </c>
      <c r="G58" t="s">
        <v>44</v>
      </c>
      <c r="H58" t="s">
        <v>36</v>
      </c>
      <c r="I58" t="s">
        <v>20</v>
      </c>
    </row>
    <row r="59" spans="1:9" x14ac:dyDescent="0.25">
      <c r="A59">
        <v>10514</v>
      </c>
      <c r="B59" t="s">
        <v>43</v>
      </c>
      <c r="C59" t="s">
        <v>17</v>
      </c>
      <c r="D59">
        <v>4.99</v>
      </c>
      <c r="E59">
        <v>200.4</v>
      </c>
      <c r="F59" t="s">
        <v>40</v>
      </c>
      <c r="G59" t="s">
        <v>44</v>
      </c>
      <c r="H59" t="s">
        <v>36</v>
      </c>
      <c r="I59" t="s">
        <v>20</v>
      </c>
    </row>
    <row r="60" spans="1:9" x14ac:dyDescent="0.25">
      <c r="A60">
        <v>10515</v>
      </c>
      <c r="B60" t="s">
        <v>45</v>
      </c>
      <c r="C60" t="s">
        <v>21</v>
      </c>
      <c r="D60">
        <v>12.99</v>
      </c>
      <c r="E60">
        <v>477.29</v>
      </c>
      <c r="F60" t="s">
        <v>40</v>
      </c>
      <c r="G60" t="s">
        <v>44</v>
      </c>
      <c r="H60" t="s">
        <v>36</v>
      </c>
      <c r="I60" t="s">
        <v>20</v>
      </c>
    </row>
    <row r="61" spans="1:9" x14ac:dyDescent="0.25">
      <c r="A61">
        <v>10516</v>
      </c>
      <c r="B61" t="s">
        <v>45</v>
      </c>
      <c r="C61" t="s">
        <v>25</v>
      </c>
      <c r="D61">
        <v>9.9499999999999993</v>
      </c>
      <c r="E61">
        <v>201.01</v>
      </c>
      <c r="F61" t="s">
        <v>40</v>
      </c>
      <c r="G61" t="s">
        <v>44</v>
      </c>
      <c r="H61" t="s">
        <v>36</v>
      </c>
      <c r="I61" t="s">
        <v>20</v>
      </c>
    </row>
    <row r="62" spans="1:9" x14ac:dyDescent="0.25">
      <c r="A62">
        <v>10483</v>
      </c>
      <c r="B62" t="s">
        <v>35</v>
      </c>
      <c r="C62" t="s">
        <v>14</v>
      </c>
      <c r="D62">
        <v>2.95</v>
      </c>
      <c r="E62">
        <v>677.97</v>
      </c>
      <c r="F62" t="s">
        <v>18</v>
      </c>
      <c r="G62" t="s">
        <v>22</v>
      </c>
      <c r="H62" t="s">
        <v>19</v>
      </c>
      <c r="I62" t="s">
        <v>20</v>
      </c>
    </row>
    <row r="63" spans="1:9" x14ac:dyDescent="0.25">
      <c r="A63">
        <v>10484</v>
      </c>
      <c r="B63" t="s">
        <v>35</v>
      </c>
      <c r="C63" t="s">
        <v>17</v>
      </c>
      <c r="D63">
        <v>4.99</v>
      </c>
      <c r="E63">
        <v>200.4</v>
      </c>
      <c r="F63" t="s">
        <v>18</v>
      </c>
      <c r="G63" t="s">
        <v>22</v>
      </c>
      <c r="H63" t="s">
        <v>19</v>
      </c>
      <c r="I63" t="s">
        <v>20</v>
      </c>
    </row>
    <row r="64" spans="1:9" x14ac:dyDescent="0.25">
      <c r="A64">
        <v>10485</v>
      </c>
      <c r="B64" t="s">
        <v>37</v>
      </c>
      <c r="C64" t="s">
        <v>21</v>
      </c>
      <c r="D64">
        <v>12.99</v>
      </c>
      <c r="E64">
        <v>523.48</v>
      </c>
      <c r="F64" t="s">
        <v>18</v>
      </c>
      <c r="G64" t="s">
        <v>22</v>
      </c>
      <c r="H64" t="s">
        <v>19</v>
      </c>
      <c r="I64" t="s">
        <v>20</v>
      </c>
    </row>
    <row r="65" spans="1:9" x14ac:dyDescent="0.25">
      <c r="A65">
        <v>10520</v>
      </c>
      <c r="B65" t="s">
        <v>46</v>
      </c>
      <c r="C65" t="s">
        <v>21</v>
      </c>
      <c r="D65">
        <v>12.99</v>
      </c>
      <c r="E65">
        <v>492.69</v>
      </c>
      <c r="F65" t="s">
        <v>40</v>
      </c>
      <c r="G65" t="s">
        <v>44</v>
      </c>
      <c r="H65" t="s">
        <v>28</v>
      </c>
      <c r="I65" t="s">
        <v>27</v>
      </c>
    </row>
    <row r="66" spans="1:9" x14ac:dyDescent="0.25">
      <c r="A66">
        <v>10521</v>
      </c>
      <c r="B66" t="s">
        <v>46</v>
      </c>
      <c r="C66" t="s">
        <v>25</v>
      </c>
      <c r="D66">
        <v>9.9499999999999993</v>
      </c>
      <c r="E66">
        <v>201.01</v>
      </c>
      <c r="F66" t="s">
        <v>40</v>
      </c>
      <c r="G66" t="s">
        <v>44</v>
      </c>
      <c r="H66" t="s">
        <v>28</v>
      </c>
      <c r="I66" t="s">
        <v>27</v>
      </c>
    </row>
    <row r="67" spans="1:9" x14ac:dyDescent="0.25">
      <c r="A67">
        <v>10522</v>
      </c>
      <c r="B67" t="s">
        <v>46</v>
      </c>
      <c r="C67" t="s">
        <v>9</v>
      </c>
      <c r="D67">
        <v>3.49</v>
      </c>
      <c r="E67">
        <v>687.68</v>
      </c>
      <c r="F67" t="s">
        <v>40</v>
      </c>
      <c r="G67" t="s">
        <v>44</v>
      </c>
      <c r="H67" t="s">
        <v>28</v>
      </c>
      <c r="I67" t="s">
        <v>27</v>
      </c>
    </row>
    <row r="68" spans="1:9" x14ac:dyDescent="0.25">
      <c r="A68">
        <v>10523</v>
      </c>
      <c r="B68" t="s">
        <v>46</v>
      </c>
      <c r="C68" t="s">
        <v>14</v>
      </c>
      <c r="D68">
        <v>2.95</v>
      </c>
      <c r="E68">
        <v>745.76</v>
      </c>
      <c r="F68" t="s">
        <v>40</v>
      </c>
      <c r="G68" t="s">
        <v>44</v>
      </c>
      <c r="H68" t="s">
        <v>28</v>
      </c>
      <c r="I68" t="s">
        <v>27</v>
      </c>
    </row>
    <row r="69" spans="1:9" x14ac:dyDescent="0.25">
      <c r="A69">
        <v>10524</v>
      </c>
      <c r="B69" t="s">
        <v>46</v>
      </c>
      <c r="C69" t="s">
        <v>17</v>
      </c>
      <c r="D69">
        <v>4.99</v>
      </c>
      <c r="E69">
        <v>200.4</v>
      </c>
      <c r="F69" t="s">
        <v>40</v>
      </c>
      <c r="G69" t="s">
        <v>44</v>
      </c>
      <c r="H69" t="s">
        <v>28</v>
      </c>
      <c r="I69" t="s">
        <v>27</v>
      </c>
    </row>
    <row r="70" spans="1:9" x14ac:dyDescent="0.25">
      <c r="A70">
        <v>10525</v>
      </c>
      <c r="B70" t="s">
        <v>47</v>
      </c>
      <c r="C70" t="s">
        <v>21</v>
      </c>
      <c r="D70">
        <v>12.99</v>
      </c>
      <c r="E70">
        <v>461.89</v>
      </c>
      <c r="F70" t="s">
        <v>40</v>
      </c>
      <c r="G70" t="s">
        <v>44</v>
      </c>
      <c r="H70" t="s">
        <v>28</v>
      </c>
      <c r="I70" t="s">
        <v>27</v>
      </c>
    </row>
    <row r="71" spans="1:9" x14ac:dyDescent="0.25">
      <c r="A71">
        <v>10526</v>
      </c>
      <c r="B71" t="s">
        <v>47</v>
      </c>
      <c r="C71" t="s">
        <v>25</v>
      </c>
      <c r="D71">
        <v>9.9499999999999993</v>
      </c>
      <c r="E71">
        <v>201.01</v>
      </c>
      <c r="F71" t="s">
        <v>40</v>
      </c>
      <c r="G71" t="s">
        <v>44</v>
      </c>
      <c r="H71" t="s">
        <v>28</v>
      </c>
      <c r="I71" t="s">
        <v>27</v>
      </c>
    </row>
    <row r="72" spans="1:9" x14ac:dyDescent="0.25">
      <c r="A72">
        <v>10527</v>
      </c>
      <c r="B72" t="s">
        <v>47</v>
      </c>
      <c r="C72" t="s">
        <v>9</v>
      </c>
      <c r="D72">
        <v>3.49</v>
      </c>
      <c r="E72">
        <v>687.68</v>
      </c>
      <c r="F72" t="s">
        <v>40</v>
      </c>
      <c r="G72" t="s">
        <v>44</v>
      </c>
      <c r="H72" t="s">
        <v>28</v>
      </c>
      <c r="I72" t="s">
        <v>27</v>
      </c>
    </row>
    <row r="73" spans="1:9" x14ac:dyDescent="0.25">
      <c r="A73">
        <v>10528</v>
      </c>
      <c r="B73" t="s">
        <v>47</v>
      </c>
      <c r="C73" t="s">
        <v>14</v>
      </c>
      <c r="D73">
        <v>2.95</v>
      </c>
      <c r="E73">
        <v>745.76</v>
      </c>
      <c r="F73" t="s">
        <v>40</v>
      </c>
      <c r="G73" t="s">
        <v>44</v>
      </c>
      <c r="H73" t="s">
        <v>28</v>
      </c>
      <c r="I73" t="s">
        <v>27</v>
      </c>
    </row>
    <row r="74" spans="1:9" x14ac:dyDescent="0.25">
      <c r="A74">
        <v>10529</v>
      </c>
      <c r="B74" t="s">
        <v>47</v>
      </c>
      <c r="C74" t="s">
        <v>17</v>
      </c>
      <c r="D74">
        <v>4.99</v>
      </c>
      <c r="E74">
        <v>200.4</v>
      </c>
      <c r="F74" t="s">
        <v>40</v>
      </c>
      <c r="G74" t="s">
        <v>44</v>
      </c>
      <c r="H74" t="s">
        <v>28</v>
      </c>
      <c r="I74" t="s">
        <v>27</v>
      </c>
    </row>
    <row r="75" spans="1:9" x14ac:dyDescent="0.25">
      <c r="A75">
        <v>10530</v>
      </c>
      <c r="B75" t="s">
        <v>48</v>
      </c>
      <c r="C75" t="s">
        <v>21</v>
      </c>
      <c r="D75">
        <v>12.99</v>
      </c>
      <c r="E75">
        <v>477.29</v>
      </c>
      <c r="F75" t="s">
        <v>40</v>
      </c>
      <c r="G75" t="s">
        <v>44</v>
      </c>
      <c r="H75" t="s">
        <v>28</v>
      </c>
      <c r="I75" t="s">
        <v>27</v>
      </c>
    </row>
    <row r="76" spans="1:9" x14ac:dyDescent="0.25">
      <c r="A76">
        <v>10531</v>
      </c>
      <c r="B76" t="s">
        <v>48</v>
      </c>
      <c r="C76" t="s">
        <v>25</v>
      </c>
      <c r="D76">
        <v>9.9499999999999993</v>
      </c>
      <c r="E76">
        <v>201.01</v>
      </c>
      <c r="F76" t="s">
        <v>40</v>
      </c>
      <c r="G76" t="s">
        <v>44</v>
      </c>
      <c r="H76" t="s">
        <v>28</v>
      </c>
      <c r="I76" t="s">
        <v>27</v>
      </c>
    </row>
    <row r="77" spans="1:9" x14ac:dyDescent="0.25">
      <c r="A77">
        <v>10532</v>
      </c>
      <c r="B77" t="s">
        <v>48</v>
      </c>
      <c r="C77" t="s">
        <v>9</v>
      </c>
      <c r="D77">
        <v>3.49</v>
      </c>
      <c r="E77">
        <v>687.68</v>
      </c>
      <c r="F77" t="s">
        <v>40</v>
      </c>
      <c r="G77" t="s">
        <v>44</v>
      </c>
      <c r="H77" t="s">
        <v>36</v>
      </c>
      <c r="I77" t="s">
        <v>20</v>
      </c>
    </row>
    <row r="78" spans="1:9" x14ac:dyDescent="0.25">
      <c r="A78">
        <v>10533</v>
      </c>
      <c r="B78" t="s">
        <v>48</v>
      </c>
      <c r="C78" t="s">
        <v>14</v>
      </c>
      <c r="D78">
        <v>2.95</v>
      </c>
      <c r="E78">
        <v>745.76</v>
      </c>
      <c r="F78" t="s">
        <v>40</v>
      </c>
      <c r="G78" t="s">
        <v>44</v>
      </c>
      <c r="H78" t="s">
        <v>36</v>
      </c>
      <c r="I78" t="s">
        <v>20</v>
      </c>
    </row>
    <row r="79" spans="1:9" x14ac:dyDescent="0.25">
      <c r="A79">
        <v>10534</v>
      </c>
      <c r="B79" t="s">
        <v>48</v>
      </c>
      <c r="C79" t="s">
        <v>17</v>
      </c>
      <c r="D79">
        <v>4.99</v>
      </c>
      <c r="E79">
        <v>200.4</v>
      </c>
      <c r="F79" t="s">
        <v>40</v>
      </c>
      <c r="G79" t="s">
        <v>44</v>
      </c>
      <c r="H79" t="s">
        <v>31</v>
      </c>
      <c r="I79" t="s">
        <v>16</v>
      </c>
    </row>
    <row r="80" spans="1:9" x14ac:dyDescent="0.25">
      <c r="A80">
        <v>10535</v>
      </c>
      <c r="B80" t="s">
        <v>49</v>
      </c>
      <c r="C80" t="s">
        <v>21</v>
      </c>
      <c r="D80">
        <v>12.99</v>
      </c>
      <c r="E80">
        <v>477.29</v>
      </c>
      <c r="F80" t="s">
        <v>40</v>
      </c>
      <c r="G80" t="s">
        <v>22</v>
      </c>
      <c r="H80" t="s">
        <v>31</v>
      </c>
      <c r="I80" t="s">
        <v>16</v>
      </c>
    </row>
    <row r="81" spans="1:9" x14ac:dyDescent="0.25">
      <c r="A81">
        <v>10536</v>
      </c>
      <c r="B81" t="s">
        <v>49</v>
      </c>
      <c r="C81" t="s">
        <v>25</v>
      </c>
      <c r="D81">
        <v>9.9499999999999993</v>
      </c>
      <c r="E81">
        <v>201.01</v>
      </c>
      <c r="F81" t="s">
        <v>40</v>
      </c>
      <c r="G81" t="s">
        <v>22</v>
      </c>
      <c r="H81" t="s">
        <v>31</v>
      </c>
      <c r="I81" t="s">
        <v>16</v>
      </c>
    </row>
    <row r="82" spans="1:9" x14ac:dyDescent="0.25">
      <c r="A82">
        <v>10540</v>
      </c>
      <c r="B82" t="s">
        <v>50</v>
      </c>
      <c r="C82" t="s">
        <v>21</v>
      </c>
      <c r="D82">
        <v>12.99</v>
      </c>
      <c r="E82">
        <v>461.89</v>
      </c>
      <c r="F82" t="s">
        <v>40</v>
      </c>
      <c r="G82" t="s">
        <v>22</v>
      </c>
      <c r="H82" t="s">
        <v>31</v>
      </c>
      <c r="I82" t="s">
        <v>16</v>
      </c>
    </row>
    <row r="83" spans="1:9" x14ac:dyDescent="0.25">
      <c r="A83">
        <v>10541</v>
      </c>
      <c r="B83" t="s">
        <v>50</v>
      </c>
      <c r="C83" t="s">
        <v>25</v>
      </c>
      <c r="D83">
        <v>9.9499999999999993</v>
      </c>
      <c r="E83">
        <v>201.01</v>
      </c>
      <c r="F83" t="s">
        <v>40</v>
      </c>
      <c r="G83" t="s">
        <v>22</v>
      </c>
      <c r="H83" t="s">
        <v>51</v>
      </c>
      <c r="I83" t="s">
        <v>13</v>
      </c>
    </row>
    <row r="84" spans="1:9" x14ac:dyDescent="0.25">
      <c r="A84">
        <v>10542</v>
      </c>
      <c r="B84" t="s">
        <v>50</v>
      </c>
      <c r="C84" t="s">
        <v>9</v>
      </c>
      <c r="D84">
        <v>3.49</v>
      </c>
      <c r="E84">
        <v>630.37</v>
      </c>
      <c r="F84" t="s">
        <v>40</v>
      </c>
      <c r="G84" t="s">
        <v>22</v>
      </c>
      <c r="H84" t="s">
        <v>51</v>
      </c>
      <c r="I84" t="s">
        <v>13</v>
      </c>
    </row>
    <row r="85" spans="1:9" x14ac:dyDescent="0.25">
      <c r="A85">
        <v>10543</v>
      </c>
      <c r="B85" t="s">
        <v>50</v>
      </c>
      <c r="C85" t="s">
        <v>14</v>
      </c>
      <c r="D85">
        <v>2.95</v>
      </c>
      <c r="E85">
        <v>745.76</v>
      </c>
      <c r="F85" t="s">
        <v>40</v>
      </c>
      <c r="G85" t="s">
        <v>22</v>
      </c>
      <c r="H85" t="s">
        <v>51</v>
      </c>
      <c r="I85" t="s">
        <v>13</v>
      </c>
    </row>
    <row r="86" spans="1:9" x14ac:dyDescent="0.25">
      <c r="A86">
        <v>10544</v>
      </c>
      <c r="B86" t="s">
        <v>50</v>
      </c>
      <c r="C86" t="s">
        <v>17</v>
      </c>
      <c r="D86">
        <v>4.99</v>
      </c>
      <c r="E86">
        <v>200.4</v>
      </c>
      <c r="F86" t="s">
        <v>40</v>
      </c>
      <c r="G86" t="s">
        <v>22</v>
      </c>
      <c r="H86" t="s">
        <v>51</v>
      </c>
      <c r="I86" t="s">
        <v>13</v>
      </c>
    </row>
    <row r="87" spans="1:9" x14ac:dyDescent="0.25">
      <c r="A87">
        <v>10545</v>
      </c>
      <c r="B87" t="s">
        <v>52</v>
      </c>
      <c r="C87" t="s">
        <v>21</v>
      </c>
      <c r="D87">
        <v>12.99</v>
      </c>
      <c r="E87">
        <v>446.5</v>
      </c>
      <c r="F87" t="s">
        <v>40</v>
      </c>
      <c r="G87" t="s">
        <v>22</v>
      </c>
      <c r="H87" t="s">
        <v>51</v>
      </c>
      <c r="I87" t="s">
        <v>13</v>
      </c>
    </row>
    <row r="88" spans="1:9" x14ac:dyDescent="0.25">
      <c r="A88">
        <v>10546</v>
      </c>
      <c r="B88" t="s">
        <v>52</v>
      </c>
      <c r="C88" t="s">
        <v>25</v>
      </c>
      <c r="D88">
        <v>9.9499999999999993</v>
      </c>
      <c r="E88">
        <v>201.01</v>
      </c>
      <c r="F88" t="s">
        <v>40</v>
      </c>
      <c r="G88" t="s">
        <v>22</v>
      </c>
      <c r="H88" t="s">
        <v>51</v>
      </c>
      <c r="I88" t="s">
        <v>13</v>
      </c>
    </row>
    <row r="89" spans="1:9" x14ac:dyDescent="0.25">
      <c r="A89">
        <v>10547</v>
      </c>
      <c r="B89" t="s">
        <v>52</v>
      </c>
      <c r="C89" t="s">
        <v>9</v>
      </c>
      <c r="D89">
        <v>3.49</v>
      </c>
      <c r="E89">
        <v>630.37</v>
      </c>
      <c r="F89" t="s">
        <v>40</v>
      </c>
      <c r="G89" t="s">
        <v>22</v>
      </c>
      <c r="H89" t="s">
        <v>51</v>
      </c>
      <c r="I89" t="s">
        <v>13</v>
      </c>
    </row>
    <row r="90" spans="1:9" x14ac:dyDescent="0.25">
      <c r="A90">
        <v>10548</v>
      </c>
      <c r="B90" t="s">
        <v>52</v>
      </c>
      <c r="C90" t="s">
        <v>14</v>
      </c>
      <c r="D90">
        <v>2.95</v>
      </c>
      <c r="E90">
        <v>745.76</v>
      </c>
      <c r="F90" t="s">
        <v>40</v>
      </c>
      <c r="G90" t="s">
        <v>22</v>
      </c>
      <c r="H90" t="s">
        <v>51</v>
      </c>
      <c r="I90" t="s">
        <v>13</v>
      </c>
    </row>
    <row r="91" spans="1:9" x14ac:dyDescent="0.25">
      <c r="A91">
        <v>10549</v>
      </c>
      <c r="B91" t="s">
        <v>52</v>
      </c>
      <c r="C91" t="s">
        <v>17</v>
      </c>
      <c r="D91">
        <v>4.99</v>
      </c>
      <c r="E91">
        <v>200.4</v>
      </c>
      <c r="F91" t="s">
        <v>40</v>
      </c>
      <c r="G91" t="s">
        <v>22</v>
      </c>
      <c r="H91" t="s">
        <v>51</v>
      </c>
      <c r="I91" t="s">
        <v>13</v>
      </c>
    </row>
    <row r="92" spans="1:9" x14ac:dyDescent="0.25">
      <c r="A92">
        <v>10550</v>
      </c>
      <c r="B92" t="s">
        <v>53</v>
      </c>
      <c r="C92" t="s">
        <v>21</v>
      </c>
      <c r="D92">
        <v>12.99</v>
      </c>
      <c r="E92">
        <v>461.89</v>
      </c>
      <c r="F92" t="s">
        <v>40</v>
      </c>
      <c r="G92" t="s">
        <v>22</v>
      </c>
      <c r="H92" t="s">
        <v>51</v>
      </c>
      <c r="I92" t="s">
        <v>13</v>
      </c>
    </row>
    <row r="93" spans="1:9" x14ac:dyDescent="0.25">
      <c r="A93">
        <v>10551</v>
      </c>
      <c r="B93" t="s">
        <v>53</v>
      </c>
      <c r="C93" t="s">
        <v>25</v>
      </c>
      <c r="D93">
        <v>9.9499999999999993</v>
      </c>
      <c r="E93">
        <v>201.01</v>
      </c>
      <c r="F93" t="s">
        <v>40</v>
      </c>
      <c r="G93" t="s">
        <v>22</v>
      </c>
      <c r="H93" t="s">
        <v>51</v>
      </c>
      <c r="I93" t="s">
        <v>13</v>
      </c>
    </row>
    <row r="94" spans="1:9" x14ac:dyDescent="0.25">
      <c r="A94">
        <v>10552</v>
      </c>
      <c r="B94" t="s">
        <v>53</v>
      </c>
      <c r="C94" t="s">
        <v>9</v>
      </c>
      <c r="D94">
        <v>3.49</v>
      </c>
      <c r="E94">
        <v>630.37</v>
      </c>
      <c r="F94" t="s">
        <v>10</v>
      </c>
      <c r="G94" t="s">
        <v>22</v>
      </c>
      <c r="H94" t="s">
        <v>51</v>
      </c>
      <c r="I94" t="s">
        <v>13</v>
      </c>
    </row>
    <row r="95" spans="1:9" x14ac:dyDescent="0.25">
      <c r="A95">
        <v>10553</v>
      </c>
      <c r="B95" t="s">
        <v>53</v>
      </c>
      <c r="C95" t="s">
        <v>14</v>
      </c>
      <c r="D95">
        <v>2.95</v>
      </c>
      <c r="E95">
        <v>745.76</v>
      </c>
      <c r="F95" t="s">
        <v>10</v>
      </c>
      <c r="G95" t="s">
        <v>22</v>
      </c>
      <c r="H95" t="s">
        <v>51</v>
      </c>
      <c r="I95" t="s">
        <v>13</v>
      </c>
    </row>
    <row r="96" spans="1:9" x14ac:dyDescent="0.25">
      <c r="A96">
        <v>10554</v>
      </c>
      <c r="B96" t="s">
        <v>53</v>
      </c>
      <c r="C96" t="s">
        <v>17</v>
      </c>
      <c r="D96">
        <v>4.99</v>
      </c>
      <c r="E96">
        <v>200.4</v>
      </c>
      <c r="F96" t="s">
        <v>10</v>
      </c>
      <c r="G96" t="s">
        <v>22</v>
      </c>
      <c r="H96" t="s">
        <v>51</v>
      </c>
      <c r="I96" t="s">
        <v>13</v>
      </c>
    </row>
    <row r="97" spans="1:9" x14ac:dyDescent="0.25">
      <c r="A97">
        <v>10555</v>
      </c>
      <c r="B97" t="s">
        <v>54</v>
      </c>
      <c r="C97" t="s">
        <v>21</v>
      </c>
      <c r="D97">
        <v>12.99</v>
      </c>
      <c r="E97">
        <v>477.29</v>
      </c>
      <c r="F97" t="s">
        <v>10</v>
      </c>
      <c r="G97" t="s">
        <v>22</v>
      </c>
      <c r="H97" t="s">
        <v>51</v>
      </c>
      <c r="I97" t="s">
        <v>13</v>
      </c>
    </row>
    <row r="98" spans="1:9" x14ac:dyDescent="0.25">
      <c r="A98">
        <v>10556</v>
      </c>
      <c r="B98" t="s">
        <v>54</v>
      </c>
      <c r="C98" t="s">
        <v>25</v>
      </c>
      <c r="D98">
        <v>9.9499999999999993</v>
      </c>
      <c r="E98">
        <v>201.01</v>
      </c>
      <c r="F98" t="s">
        <v>10</v>
      </c>
      <c r="G98" t="s">
        <v>22</v>
      </c>
      <c r="H98" t="s">
        <v>51</v>
      </c>
      <c r="I98" t="s">
        <v>13</v>
      </c>
    </row>
    <row r="99" spans="1:9" x14ac:dyDescent="0.25">
      <c r="A99">
        <v>10557</v>
      </c>
      <c r="B99" t="s">
        <v>54</v>
      </c>
      <c r="C99" t="s">
        <v>9</v>
      </c>
      <c r="D99">
        <v>3.49</v>
      </c>
      <c r="E99">
        <v>630.37</v>
      </c>
      <c r="F99" t="s">
        <v>10</v>
      </c>
      <c r="G99" t="s">
        <v>22</v>
      </c>
      <c r="H99" t="s">
        <v>51</v>
      </c>
      <c r="I99" t="s">
        <v>13</v>
      </c>
    </row>
    <row r="100" spans="1:9" x14ac:dyDescent="0.25">
      <c r="A100">
        <v>10558</v>
      </c>
      <c r="B100" t="s">
        <v>54</v>
      </c>
      <c r="C100" t="s">
        <v>14</v>
      </c>
      <c r="D100">
        <v>2.95</v>
      </c>
      <c r="E100">
        <v>677.97</v>
      </c>
      <c r="F100" t="s">
        <v>10</v>
      </c>
      <c r="G100" t="s">
        <v>22</v>
      </c>
      <c r="H100" t="s">
        <v>51</v>
      </c>
      <c r="I100" t="s">
        <v>13</v>
      </c>
    </row>
    <row r="101" spans="1:9" x14ac:dyDescent="0.25">
      <c r="A101">
        <v>10559</v>
      </c>
      <c r="B101" t="s">
        <v>54</v>
      </c>
      <c r="C101" t="s">
        <v>17</v>
      </c>
      <c r="D101">
        <v>4.99</v>
      </c>
      <c r="E101">
        <v>200.4</v>
      </c>
      <c r="F101" t="s">
        <v>10</v>
      </c>
      <c r="G101" t="s">
        <v>22</v>
      </c>
      <c r="H101" t="s">
        <v>51</v>
      </c>
      <c r="I101" t="s">
        <v>13</v>
      </c>
    </row>
    <row r="102" spans="1:9" x14ac:dyDescent="0.25">
      <c r="A102">
        <v>10560</v>
      </c>
      <c r="B102" t="s">
        <v>55</v>
      </c>
      <c r="C102" t="s">
        <v>21</v>
      </c>
      <c r="D102">
        <v>12.99</v>
      </c>
      <c r="E102">
        <v>477.29</v>
      </c>
      <c r="F102" t="s">
        <v>10</v>
      </c>
      <c r="G102" t="s">
        <v>22</v>
      </c>
      <c r="H102" t="s">
        <v>51</v>
      </c>
      <c r="I102" t="s">
        <v>13</v>
      </c>
    </row>
    <row r="103" spans="1:9" x14ac:dyDescent="0.25">
      <c r="A103">
        <v>10561</v>
      </c>
      <c r="B103" t="s">
        <v>55</v>
      </c>
      <c r="C103" t="s">
        <v>25</v>
      </c>
      <c r="D103">
        <v>9.9499999999999993</v>
      </c>
      <c r="E103">
        <v>201.01</v>
      </c>
      <c r="F103" t="s">
        <v>10</v>
      </c>
      <c r="G103" t="s">
        <v>22</v>
      </c>
      <c r="H103" t="s">
        <v>51</v>
      </c>
      <c r="I103" t="s">
        <v>13</v>
      </c>
    </row>
    <row r="104" spans="1:9" x14ac:dyDescent="0.25">
      <c r="A104">
        <v>10562</v>
      </c>
      <c r="B104" t="s">
        <v>55</v>
      </c>
      <c r="C104" t="s">
        <v>9</v>
      </c>
      <c r="D104">
        <v>3.49</v>
      </c>
      <c r="E104">
        <v>630.37</v>
      </c>
      <c r="F104" t="s">
        <v>10</v>
      </c>
      <c r="G104" t="s">
        <v>22</v>
      </c>
      <c r="H104" t="s">
        <v>51</v>
      </c>
      <c r="I104" t="s">
        <v>13</v>
      </c>
    </row>
    <row r="105" spans="1:9" x14ac:dyDescent="0.25">
      <c r="A105">
        <v>10563</v>
      </c>
      <c r="B105" t="s">
        <v>55</v>
      </c>
      <c r="C105" t="s">
        <v>14</v>
      </c>
      <c r="D105">
        <v>2.95</v>
      </c>
      <c r="E105">
        <v>677.97</v>
      </c>
      <c r="F105" t="s">
        <v>10</v>
      </c>
      <c r="G105" t="s">
        <v>22</v>
      </c>
      <c r="H105" t="s">
        <v>51</v>
      </c>
      <c r="I105" t="s">
        <v>13</v>
      </c>
    </row>
    <row r="106" spans="1:9" x14ac:dyDescent="0.25">
      <c r="A106">
        <v>10564</v>
      </c>
      <c r="B106" t="s">
        <v>55</v>
      </c>
      <c r="C106" t="s">
        <v>17</v>
      </c>
      <c r="D106">
        <v>4.99</v>
      </c>
      <c r="E106">
        <v>200.4</v>
      </c>
      <c r="F106" t="s">
        <v>10</v>
      </c>
      <c r="G106" t="s">
        <v>22</v>
      </c>
      <c r="H106" t="s">
        <v>51</v>
      </c>
      <c r="I106" t="s">
        <v>13</v>
      </c>
    </row>
    <row r="107" spans="1:9" x14ac:dyDescent="0.25">
      <c r="A107">
        <v>10565</v>
      </c>
      <c r="B107" t="s">
        <v>56</v>
      </c>
      <c r="C107" t="s">
        <v>21</v>
      </c>
      <c r="D107">
        <v>12.99</v>
      </c>
      <c r="E107">
        <v>492.69</v>
      </c>
      <c r="F107" t="s">
        <v>10</v>
      </c>
      <c r="G107" t="s">
        <v>22</v>
      </c>
      <c r="H107" t="s">
        <v>51</v>
      </c>
      <c r="I107" t="s">
        <v>13</v>
      </c>
    </row>
    <row r="108" spans="1:9" x14ac:dyDescent="0.25">
      <c r="A108">
        <v>10566</v>
      </c>
      <c r="B108" t="s">
        <v>56</v>
      </c>
      <c r="C108" t="s">
        <v>25</v>
      </c>
      <c r="D108">
        <v>9.9499999999999993</v>
      </c>
      <c r="E108">
        <v>201.01</v>
      </c>
      <c r="F108" t="s">
        <v>10</v>
      </c>
      <c r="G108" t="s">
        <v>22</v>
      </c>
      <c r="H108" t="s">
        <v>51</v>
      </c>
      <c r="I108" t="s">
        <v>13</v>
      </c>
    </row>
    <row r="109" spans="1:9" x14ac:dyDescent="0.25">
      <c r="A109">
        <v>10567</v>
      </c>
      <c r="B109" t="s">
        <v>56</v>
      </c>
      <c r="C109" t="s">
        <v>9</v>
      </c>
      <c r="D109">
        <v>3.49</v>
      </c>
      <c r="E109">
        <v>630.37</v>
      </c>
      <c r="F109" t="s">
        <v>10</v>
      </c>
      <c r="G109" t="s">
        <v>22</v>
      </c>
      <c r="H109" t="s">
        <v>51</v>
      </c>
      <c r="I109" t="s">
        <v>13</v>
      </c>
    </row>
    <row r="110" spans="1:9" x14ac:dyDescent="0.25">
      <c r="A110">
        <v>10568</v>
      </c>
      <c r="B110" t="s">
        <v>56</v>
      </c>
      <c r="C110" t="s">
        <v>14</v>
      </c>
      <c r="D110">
        <v>2.95</v>
      </c>
      <c r="E110">
        <v>677.97</v>
      </c>
      <c r="F110" t="s">
        <v>10</v>
      </c>
      <c r="G110" t="s">
        <v>22</v>
      </c>
      <c r="H110" t="s">
        <v>51</v>
      </c>
      <c r="I110" t="s">
        <v>13</v>
      </c>
    </row>
    <row r="111" spans="1:9" x14ac:dyDescent="0.25">
      <c r="A111">
        <v>10569</v>
      </c>
      <c r="B111" t="s">
        <v>56</v>
      </c>
      <c r="C111" t="s">
        <v>17</v>
      </c>
      <c r="D111">
        <v>4.99</v>
      </c>
      <c r="E111">
        <v>200.4</v>
      </c>
      <c r="F111" t="s">
        <v>10</v>
      </c>
      <c r="G111" t="s">
        <v>22</v>
      </c>
      <c r="H111" t="s">
        <v>51</v>
      </c>
      <c r="I111" t="s">
        <v>13</v>
      </c>
    </row>
    <row r="112" spans="1:9" x14ac:dyDescent="0.25">
      <c r="A112">
        <v>10570</v>
      </c>
      <c r="B112" s="1">
        <v>44573</v>
      </c>
      <c r="C112" t="s">
        <v>21</v>
      </c>
      <c r="D112">
        <v>12.99</v>
      </c>
      <c r="E112">
        <v>492.69</v>
      </c>
      <c r="F112" t="s">
        <v>10</v>
      </c>
      <c r="G112" t="s">
        <v>22</v>
      </c>
      <c r="H112" t="s">
        <v>51</v>
      </c>
      <c r="I112" t="s">
        <v>13</v>
      </c>
    </row>
    <row r="113" spans="1:9" x14ac:dyDescent="0.25">
      <c r="A113">
        <v>10571</v>
      </c>
      <c r="B113" s="1">
        <v>44573</v>
      </c>
      <c r="C113" t="s">
        <v>25</v>
      </c>
      <c r="D113">
        <v>9.9499999999999993</v>
      </c>
      <c r="E113">
        <v>201.01</v>
      </c>
      <c r="F113" t="s">
        <v>10</v>
      </c>
      <c r="G113" t="s">
        <v>22</v>
      </c>
      <c r="H113" t="s">
        <v>51</v>
      </c>
      <c r="I113" t="s">
        <v>13</v>
      </c>
    </row>
    <row r="114" spans="1:9" x14ac:dyDescent="0.25">
      <c r="A114">
        <v>10572</v>
      </c>
      <c r="B114" s="1">
        <v>44573</v>
      </c>
      <c r="C114" t="s">
        <v>9</v>
      </c>
      <c r="D114">
        <v>3.49</v>
      </c>
      <c r="E114">
        <v>573.07000000000005</v>
      </c>
      <c r="F114" t="s">
        <v>10</v>
      </c>
      <c r="G114" t="s">
        <v>22</v>
      </c>
      <c r="H114" t="s">
        <v>28</v>
      </c>
      <c r="I114" t="s">
        <v>27</v>
      </c>
    </row>
    <row r="115" spans="1:9" x14ac:dyDescent="0.25">
      <c r="A115">
        <v>10573</v>
      </c>
      <c r="B115" s="1">
        <v>44573</v>
      </c>
      <c r="C115" t="s">
        <v>14</v>
      </c>
      <c r="D115">
        <v>2.95</v>
      </c>
      <c r="E115">
        <v>677.97</v>
      </c>
      <c r="F115" t="s">
        <v>10</v>
      </c>
      <c r="G115" t="s">
        <v>22</v>
      </c>
      <c r="H115" t="s">
        <v>28</v>
      </c>
      <c r="I115" t="s">
        <v>27</v>
      </c>
    </row>
    <row r="116" spans="1:9" x14ac:dyDescent="0.25">
      <c r="A116">
        <v>10574</v>
      </c>
      <c r="B116" s="1">
        <v>44573</v>
      </c>
      <c r="C116" t="s">
        <v>17</v>
      </c>
      <c r="D116">
        <v>4.99</v>
      </c>
      <c r="E116">
        <v>200.4</v>
      </c>
      <c r="F116" t="s">
        <v>10</v>
      </c>
      <c r="G116" t="s">
        <v>22</v>
      </c>
      <c r="H116" t="s">
        <v>28</v>
      </c>
      <c r="I116" t="s">
        <v>27</v>
      </c>
    </row>
    <row r="117" spans="1:9" x14ac:dyDescent="0.25">
      <c r="A117">
        <v>10575</v>
      </c>
      <c r="B117" s="1">
        <v>44604</v>
      </c>
      <c r="C117" t="s">
        <v>21</v>
      </c>
      <c r="D117">
        <v>12.99</v>
      </c>
      <c r="E117">
        <v>523.48</v>
      </c>
      <c r="F117" t="s">
        <v>10</v>
      </c>
      <c r="G117" t="s">
        <v>22</v>
      </c>
      <c r="H117" t="s">
        <v>28</v>
      </c>
      <c r="I117" t="s">
        <v>27</v>
      </c>
    </row>
    <row r="118" spans="1:9" x14ac:dyDescent="0.25">
      <c r="A118">
        <v>10576</v>
      </c>
      <c r="B118" s="1">
        <v>44604</v>
      </c>
      <c r="C118" t="s">
        <v>25</v>
      </c>
      <c r="D118">
        <v>9.9499999999999993</v>
      </c>
      <c r="E118">
        <v>201.01</v>
      </c>
      <c r="F118" t="s">
        <v>10</v>
      </c>
      <c r="G118" t="s">
        <v>22</v>
      </c>
      <c r="H118" t="s">
        <v>28</v>
      </c>
      <c r="I118" t="s">
        <v>27</v>
      </c>
    </row>
    <row r="119" spans="1:9" x14ac:dyDescent="0.25">
      <c r="A119">
        <v>10577</v>
      </c>
      <c r="B119" s="1">
        <v>44604</v>
      </c>
      <c r="C119" t="s">
        <v>9</v>
      </c>
      <c r="D119">
        <v>3.49</v>
      </c>
      <c r="E119">
        <v>630.37</v>
      </c>
      <c r="F119" t="s">
        <v>10</v>
      </c>
      <c r="G119" t="s">
        <v>22</v>
      </c>
      <c r="H119" t="s">
        <v>28</v>
      </c>
      <c r="I119" t="s">
        <v>27</v>
      </c>
    </row>
    <row r="120" spans="1:9" x14ac:dyDescent="0.25">
      <c r="A120">
        <v>10578</v>
      </c>
      <c r="B120" s="1">
        <v>44604</v>
      </c>
      <c r="C120" t="s">
        <v>14</v>
      </c>
      <c r="D120">
        <v>2.95</v>
      </c>
      <c r="E120">
        <v>677.97</v>
      </c>
      <c r="F120" t="s">
        <v>10</v>
      </c>
      <c r="G120" t="s">
        <v>22</v>
      </c>
      <c r="H120" t="s">
        <v>28</v>
      </c>
      <c r="I120" t="s">
        <v>27</v>
      </c>
    </row>
    <row r="121" spans="1:9" x14ac:dyDescent="0.25">
      <c r="A121">
        <v>10579</v>
      </c>
      <c r="B121" s="1">
        <v>44604</v>
      </c>
      <c r="C121" t="s">
        <v>17</v>
      </c>
      <c r="D121">
        <v>4.99</v>
      </c>
      <c r="E121">
        <v>200.4</v>
      </c>
      <c r="F121" t="s">
        <v>10</v>
      </c>
      <c r="G121" t="s">
        <v>22</v>
      </c>
      <c r="H121" t="s">
        <v>28</v>
      </c>
      <c r="I121" t="s">
        <v>27</v>
      </c>
    </row>
    <row r="122" spans="1:9" x14ac:dyDescent="0.25">
      <c r="A122">
        <v>10580</v>
      </c>
      <c r="B122" s="1">
        <v>44632</v>
      </c>
      <c r="C122" t="s">
        <v>21</v>
      </c>
      <c r="D122">
        <v>12.99</v>
      </c>
      <c r="E122">
        <v>523.48</v>
      </c>
      <c r="F122" t="s">
        <v>10</v>
      </c>
      <c r="G122" t="s">
        <v>22</v>
      </c>
      <c r="H122" t="s">
        <v>28</v>
      </c>
      <c r="I122" t="s">
        <v>27</v>
      </c>
    </row>
    <row r="123" spans="1:9" x14ac:dyDescent="0.25">
      <c r="A123">
        <v>10581</v>
      </c>
      <c r="B123" s="1">
        <v>44632</v>
      </c>
      <c r="C123" t="s">
        <v>25</v>
      </c>
      <c r="D123">
        <v>9.9499999999999993</v>
      </c>
      <c r="E123">
        <v>201.01</v>
      </c>
      <c r="F123" t="s">
        <v>10</v>
      </c>
      <c r="G123" t="s">
        <v>22</v>
      </c>
      <c r="H123" t="s">
        <v>28</v>
      </c>
      <c r="I123" t="s">
        <v>27</v>
      </c>
    </row>
    <row r="124" spans="1:9" x14ac:dyDescent="0.25">
      <c r="A124">
        <v>10582</v>
      </c>
      <c r="B124" s="1">
        <v>44632</v>
      </c>
      <c r="C124" t="s">
        <v>9</v>
      </c>
      <c r="D124">
        <v>3.49</v>
      </c>
      <c r="E124">
        <v>630.37</v>
      </c>
      <c r="F124" t="s">
        <v>10</v>
      </c>
      <c r="G124" t="s">
        <v>22</v>
      </c>
      <c r="H124" t="s">
        <v>51</v>
      </c>
      <c r="I124" t="s">
        <v>13</v>
      </c>
    </row>
    <row r="125" spans="1:9" x14ac:dyDescent="0.25">
      <c r="A125">
        <v>10583</v>
      </c>
      <c r="B125" s="1">
        <v>44632</v>
      </c>
      <c r="C125" t="s">
        <v>14</v>
      </c>
      <c r="D125">
        <v>2.95</v>
      </c>
      <c r="E125">
        <v>677.97</v>
      </c>
      <c r="F125" t="s">
        <v>10</v>
      </c>
      <c r="G125" t="s">
        <v>22</v>
      </c>
      <c r="H125" t="s">
        <v>51</v>
      </c>
      <c r="I125" t="s">
        <v>13</v>
      </c>
    </row>
    <row r="126" spans="1:9" x14ac:dyDescent="0.25">
      <c r="A126">
        <v>10584</v>
      </c>
      <c r="B126" s="1">
        <v>44632</v>
      </c>
      <c r="C126" t="s">
        <v>17</v>
      </c>
      <c r="D126">
        <v>4.99</v>
      </c>
      <c r="E126">
        <v>200.4</v>
      </c>
      <c r="F126" t="s">
        <v>10</v>
      </c>
      <c r="G126" t="s">
        <v>22</v>
      </c>
      <c r="H126" t="s">
        <v>51</v>
      </c>
      <c r="I126" t="s">
        <v>13</v>
      </c>
    </row>
    <row r="127" spans="1:9" x14ac:dyDescent="0.25">
      <c r="A127">
        <v>10585</v>
      </c>
      <c r="B127" s="1">
        <v>44663</v>
      </c>
      <c r="C127" t="s">
        <v>21</v>
      </c>
      <c r="D127">
        <v>12.99</v>
      </c>
      <c r="E127">
        <v>538.88</v>
      </c>
      <c r="F127" t="s">
        <v>10</v>
      </c>
      <c r="G127" t="s">
        <v>22</v>
      </c>
      <c r="H127" t="s">
        <v>51</v>
      </c>
      <c r="I127" t="s">
        <v>13</v>
      </c>
    </row>
    <row r="128" spans="1:9" x14ac:dyDescent="0.25">
      <c r="A128">
        <v>10586</v>
      </c>
      <c r="B128" s="1">
        <v>44663</v>
      </c>
      <c r="C128" t="s">
        <v>25</v>
      </c>
      <c r="D128">
        <v>9.9499999999999993</v>
      </c>
      <c r="E128">
        <v>201.01</v>
      </c>
      <c r="F128" t="s">
        <v>10</v>
      </c>
      <c r="G128" t="s">
        <v>22</v>
      </c>
      <c r="H128" t="s">
        <v>51</v>
      </c>
      <c r="I128" t="s">
        <v>13</v>
      </c>
    </row>
    <row r="129" spans="1:9" x14ac:dyDescent="0.25">
      <c r="A129">
        <v>10537</v>
      </c>
      <c r="B129" t="s">
        <v>49</v>
      </c>
      <c r="C129" t="s">
        <v>9</v>
      </c>
      <c r="D129">
        <v>3.49</v>
      </c>
      <c r="E129">
        <v>630.37</v>
      </c>
      <c r="F129" t="s">
        <v>40</v>
      </c>
      <c r="G129" t="s">
        <v>22</v>
      </c>
      <c r="H129" t="s">
        <v>31</v>
      </c>
      <c r="I129" t="s">
        <v>16</v>
      </c>
    </row>
    <row r="130" spans="1:9" x14ac:dyDescent="0.25">
      <c r="A130">
        <v>10538</v>
      </c>
      <c r="B130" t="s">
        <v>49</v>
      </c>
      <c r="C130" t="s">
        <v>14</v>
      </c>
      <c r="D130">
        <v>2.95</v>
      </c>
      <c r="E130">
        <v>745.76</v>
      </c>
      <c r="F130" t="s">
        <v>40</v>
      </c>
      <c r="G130" t="s">
        <v>22</v>
      </c>
      <c r="H130" t="s">
        <v>31</v>
      </c>
      <c r="I130" t="s">
        <v>16</v>
      </c>
    </row>
    <row r="131" spans="1:9" x14ac:dyDescent="0.25">
      <c r="A131">
        <v>10539</v>
      </c>
      <c r="B131" t="s">
        <v>49</v>
      </c>
      <c r="C131" t="s">
        <v>17</v>
      </c>
      <c r="D131">
        <v>4.99</v>
      </c>
      <c r="E131">
        <v>200.4</v>
      </c>
      <c r="F131" t="s">
        <v>40</v>
      </c>
      <c r="G131" t="s">
        <v>22</v>
      </c>
      <c r="H131" t="s">
        <v>31</v>
      </c>
      <c r="I131" t="s">
        <v>16</v>
      </c>
    </row>
    <row r="132" spans="1:9" x14ac:dyDescent="0.25">
      <c r="A132">
        <v>10590</v>
      </c>
      <c r="B132" s="1">
        <v>44693</v>
      </c>
      <c r="C132" t="s">
        <v>21</v>
      </c>
      <c r="D132">
        <v>12.99</v>
      </c>
      <c r="E132">
        <v>554.27</v>
      </c>
      <c r="F132" t="s">
        <v>10</v>
      </c>
      <c r="G132" t="s">
        <v>22</v>
      </c>
      <c r="H132" t="s">
        <v>51</v>
      </c>
      <c r="I132" t="s">
        <v>13</v>
      </c>
    </row>
    <row r="133" spans="1:9" x14ac:dyDescent="0.25">
      <c r="A133">
        <v>10591</v>
      </c>
      <c r="B133" s="1">
        <v>44693</v>
      </c>
      <c r="C133" t="s">
        <v>25</v>
      </c>
      <c r="D133">
        <v>9.9499999999999993</v>
      </c>
      <c r="E133">
        <v>201.01</v>
      </c>
      <c r="F133" t="s">
        <v>10</v>
      </c>
      <c r="G133" t="s">
        <v>22</v>
      </c>
      <c r="H133" t="s">
        <v>51</v>
      </c>
      <c r="I133" t="s">
        <v>13</v>
      </c>
    </row>
    <row r="134" spans="1:9" x14ac:dyDescent="0.25">
      <c r="A134">
        <v>10592</v>
      </c>
      <c r="B134" s="1">
        <v>44693</v>
      </c>
      <c r="C134" t="s">
        <v>9</v>
      </c>
      <c r="D134">
        <v>3.49</v>
      </c>
      <c r="E134">
        <v>573.07000000000005</v>
      </c>
      <c r="F134" t="s">
        <v>10</v>
      </c>
      <c r="G134" t="s">
        <v>22</v>
      </c>
      <c r="H134" t="s">
        <v>51</v>
      </c>
      <c r="I134" t="s">
        <v>13</v>
      </c>
    </row>
    <row r="135" spans="1:9" x14ac:dyDescent="0.25">
      <c r="A135">
        <v>10593</v>
      </c>
      <c r="B135" s="1">
        <v>44693</v>
      </c>
      <c r="C135" t="s">
        <v>14</v>
      </c>
      <c r="D135">
        <v>2.95</v>
      </c>
      <c r="E135">
        <v>677.97</v>
      </c>
      <c r="F135" t="s">
        <v>10</v>
      </c>
      <c r="G135" t="s">
        <v>22</v>
      </c>
      <c r="H135" t="s">
        <v>51</v>
      </c>
      <c r="I135" t="s">
        <v>13</v>
      </c>
    </row>
    <row r="136" spans="1:9" x14ac:dyDescent="0.25">
      <c r="A136">
        <v>10594</v>
      </c>
      <c r="B136" s="1">
        <v>44693</v>
      </c>
      <c r="C136" t="s">
        <v>17</v>
      </c>
      <c r="D136">
        <v>4.99</v>
      </c>
      <c r="E136">
        <v>200.4</v>
      </c>
      <c r="F136" t="s">
        <v>10</v>
      </c>
      <c r="G136" t="s">
        <v>22</v>
      </c>
      <c r="H136" t="s">
        <v>51</v>
      </c>
      <c r="I136" t="s">
        <v>13</v>
      </c>
    </row>
    <row r="137" spans="1:9" x14ac:dyDescent="0.25">
      <c r="A137">
        <v>10595</v>
      </c>
      <c r="B137" s="1">
        <v>44724</v>
      </c>
      <c r="C137" t="s">
        <v>21</v>
      </c>
      <c r="D137">
        <v>12.99</v>
      </c>
      <c r="E137">
        <v>538.88</v>
      </c>
      <c r="F137" t="s">
        <v>10</v>
      </c>
      <c r="G137" t="s">
        <v>22</v>
      </c>
      <c r="H137" t="s">
        <v>51</v>
      </c>
      <c r="I137" t="s">
        <v>13</v>
      </c>
    </row>
    <row r="138" spans="1:9" x14ac:dyDescent="0.25">
      <c r="A138">
        <v>10596</v>
      </c>
      <c r="B138" s="1">
        <v>44724</v>
      </c>
      <c r="C138" t="s">
        <v>25</v>
      </c>
      <c r="D138">
        <v>9.9499999999999993</v>
      </c>
      <c r="E138">
        <v>201.01</v>
      </c>
      <c r="F138" t="s">
        <v>10</v>
      </c>
      <c r="G138" t="s">
        <v>22</v>
      </c>
      <c r="H138" t="s">
        <v>51</v>
      </c>
      <c r="I138" t="s">
        <v>13</v>
      </c>
    </row>
    <row r="139" spans="1:9" x14ac:dyDescent="0.25">
      <c r="A139">
        <v>10597</v>
      </c>
      <c r="B139" s="1">
        <v>44724</v>
      </c>
      <c r="C139" t="s">
        <v>9</v>
      </c>
      <c r="D139">
        <v>3.49</v>
      </c>
      <c r="E139">
        <v>573.07000000000005</v>
      </c>
      <c r="F139" t="s">
        <v>10</v>
      </c>
      <c r="G139" t="s">
        <v>22</v>
      </c>
      <c r="H139" t="s">
        <v>51</v>
      </c>
      <c r="I139" t="s">
        <v>13</v>
      </c>
    </row>
    <row r="140" spans="1:9" x14ac:dyDescent="0.25">
      <c r="A140">
        <v>10598</v>
      </c>
      <c r="B140" s="1">
        <v>44724</v>
      </c>
      <c r="C140" t="s">
        <v>14</v>
      </c>
      <c r="D140">
        <v>2.95</v>
      </c>
      <c r="E140">
        <v>677.97</v>
      </c>
      <c r="F140" t="s">
        <v>10</v>
      </c>
      <c r="G140" t="s">
        <v>22</v>
      </c>
      <c r="H140" t="s">
        <v>51</v>
      </c>
      <c r="I140" t="s">
        <v>13</v>
      </c>
    </row>
    <row r="141" spans="1:9" x14ac:dyDescent="0.25">
      <c r="A141">
        <v>10599</v>
      </c>
      <c r="B141" s="1">
        <v>44724</v>
      </c>
      <c r="C141" t="s">
        <v>17</v>
      </c>
      <c r="D141">
        <v>4.99</v>
      </c>
      <c r="E141">
        <v>200.4</v>
      </c>
      <c r="F141" t="s">
        <v>10</v>
      </c>
      <c r="G141" t="s">
        <v>22</v>
      </c>
      <c r="H141" t="s">
        <v>51</v>
      </c>
      <c r="I141" t="s">
        <v>13</v>
      </c>
    </row>
    <row r="142" spans="1:9" x14ac:dyDescent="0.25">
      <c r="A142">
        <v>10600</v>
      </c>
      <c r="B142" s="1">
        <v>44754</v>
      </c>
      <c r="C142" t="s">
        <v>21</v>
      </c>
      <c r="D142">
        <v>12.99</v>
      </c>
      <c r="E142">
        <v>523.48</v>
      </c>
      <c r="F142" t="s">
        <v>10</v>
      </c>
      <c r="G142" t="s">
        <v>22</v>
      </c>
      <c r="H142" t="s">
        <v>51</v>
      </c>
      <c r="I142" t="s">
        <v>13</v>
      </c>
    </row>
    <row r="143" spans="1:9" x14ac:dyDescent="0.25">
      <c r="A143">
        <v>10601</v>
      </c>
      <c r="B143" s="1">
        <v>44754</v>
      </c>
      <c r="C143" t="s">
        <v>25</v>
      </c>
      <c r="D143">
        <v>9.9499999999999993</v>
      </c>
      <c r="E143">
        <v>201.01</v>
      </c>
      <c r="F143" t="s">
        <v>10</v>
      </c>
      <c r="G143" t="s">
        <v>22</v>
      </c>
      <c r="H143" t="s">
        <v>51</v>
      </c>
      <c r="I143" t="s">
        <v>13</v>
      </c>
    </row>
    <row r="144" spans="1:9" x14ac:dyDescent="0.25">
      <c r="A144">
        <v>10602</v>
      </c>
      <c r="B144" s="1">
        <v>44754</v>
      </c>
      <c r="C144" t="s">
        <v>9</v>
      </c>
      <c r="D144">
        <v>3.49</v>
      </c>
      <c r="E144">
        <v>630.37</v>
      </c>
      <c r="F144" t="s">
        <v>10</v>
      </c>
      <c r="G144" t="s">
        <v>44</v>
      </c>
      <c r="H144" t="s">
        <v>51</v>
      </c>
      <c r="I144" t="s">
        <v>13</v>
      </c>
    </row>
    <row r="145" spans="1:9" x14ac:dyDescent="0.25">
      <c r="A145">
        <v>10603</v>
      </c>
      <c r="B145" s="1">
        <v>44754</v>
      </c>
      <c r="C145" t="s">
        <v>14</v>
      </c>
      <c r="D145">
        <v>2.95</v>
      </c>
      <c r="E145">
        <v>677.97</v>
      </c>
      <c r="F145" t="s">
        <v>10</v>
      </c>
      <c r="G145" t="s">
        <v>44</v>
      </c>
      <c r="H145" t="s">
        <v>51</v>
      </c>
      <c r="I145" t="s">
        <v>13</v>
      </c>
    </row>
    <row r="146" spans="1:9" x14ac:dyDescent="0.25">
      <c r="A146">
        <v>10604</v>
      </c>
      <c r="B146" s="1">
        <v>44754</v>
      </c>
      <c r="C146" t="s">
        <v>17</v>
      </c>
      <c r="D146">
        <v>4.99</v>
      </c>
      <c r="E146">
        <v>200.4</v>
      </c>
      <c r="F146" t="s">
        <v>10</v>
      </c>
      <c r="G146" t="s">
        <v>44</v>
      </c>
      <c r="H146" t="s">
        <v>51</v>
      </c>
      <c r="I146" t="s">
        <v>13</v>
      </c>
    </row>
    <row r="147" spans="1:9" x14ac:dyDescent="0.25">
      <c r="A147">
        <v>10605</v>
      </c>
      <c r="B147" s="1">
        <v>44785</v>
      </c>
      <c r="C147" t="s">
        <v>21</v>
      </c>
      <c r="D147">
        <v>12.99</v>
      </c>
      <c r="E147">
        <v>538.88</v>
      </c>
      <c r="F147" t="s">
        <v>10</v>
      </c>
      <c r="G147" t="s">
        <v>44</v>
      </c>
      <c r="H147" t="s">
        <v>51</v>
      </c>
      <c r="I147" t="s">
        <v>13</v>
      </c>
    </row>
    <row r="148" spans="1:9" x14ac:dyDescent="0.25">
      <c r="A148">
        <v>10606</v>
      </c>
      <c r="B148" s="1">
        <v>44785</v>
      </c>
      <c r="C148" t="s">
        <v>25</v>
      </c>
      <c r="D148">
        <v>9.9499999999999993</v>
      </c>
      <c r="E148">
        <v>201.01</v>
      </c>
      <c r="F148" t="s">
        <v>10</v>
      </c>
      <c r="G148" t="s">
        <v>44</v>
      </c>
      <c r="H148" t="s">
        <v>51</v>
      </c>
      <c r="I148" t="s">
        <v>13</v>
      </c>
    </row>
    <row r="149" spans="1:9" x14ac:dyDescent="0.25">
      <c r="A149">
        <v>10607</v>
      </c>
      <c r="B149" s="1">
        <v>44785</v>
      </c>
      <c r="C149" t="s">
        <v>9</v>
      </c>
      <c r="D149">
        <v>3.49</v>
      </c>
      <c r="E149">
        <v>630.37</v>
      </c>
      <c r="F149" t="s">
        <v>10</v>
      </c>
      <c r="G149" t="s">
        <v>44</v>
      </c>
      <c r="H149" t="s">
        <v>51</v>
      </c>
      <c r="I149" t="s">
        <v>13</v>
      </c>
    </row>
    <row r="150" spans="1:9" x14ac:dyDescent="0.25">
      <c r="A150">
        <v>10608</v>
      </c>
      <c r="B150" s="1">
        <v>44785</v>
      </c>
      <c r="C150" t="s">
        <v>14</v>
      </c>
      <c r="D150">
        <v>2.95</v>
      </c>
      <c r="E150">
        <v>677.97</v>
      </c>
      <c r="F150" t="s">
        <v>10</v>
      </c>
      <c r="G150" t="s">
        <v>11</v>
      </c>
      <c r="H150" t="s">
        <v>51</v>
      </c>
      <c r="I150" t="s">
        <v>13</v>
      </c>
    </row>
    <row r="151" spans="1:9" x14ac:dyDescent="0.25">
      <c r="A151">
        <v>10609</v>
      </c>
      <c r="B151" s="1">
        <v>44785</v>
      </c>
      <c r="C151" t="s">
        <v>17</v>
      </c>
      <c r="D151">
        <v>4.99</v>
      </c>
      <c r="E151">
        <v>200.4</v>
      </c>
      <c r="F151" t="s">
        <v>10</v>
      </c>
      <c r="G151" t="s">
        <v>11</v>
      </c>
      <c r="H151" t="s">
        <v>51</v>
      </c>
      <c r="I151" t="s">
        <v>13</v>
      </c>
    </row>
    <row r="152" spans="1:9" x14ac:dyDescent="0.25">
      <c r="A152">
        <v>10610</v>
      </c>
      <c r="B152" s="1">
        <v>44816</v>
      </c>
      <c r="C152" t="s">
        <v>21</v>
      </c>
      <c r="D152">
        <v>12.99</v>
      </c>
      <c r="E152">
        <v>569.66999999999996</v>
      </c>
      <c r="F152" t="s">
        <v>10</v>
      </c>
      <c r="G152" t="s">
        <v>11</v>
      </c>
      <c r="H152" t="s">
        <v>51</v>
      </c>
      <c r="I152" t="s">
        <v>13</v>
      </c>
    </row>
    <row r="153" spans="1:9" x14ac:dyDescent="0.25">
      <c r="A153">
        <v>10611</v>
      </c>
      <c r="B153" s="1">
        <v>44816</v>
      </c>
      <c r="C153" t="s">
        <v>25</v>
      </c>
      <c r="D153">
        <v>9.9499999999999993</v>
      </c>
      <c r="E153">
        <v>201.01</v>
      </c>
      <c r="F153" t="s">
        <v>10</v>
      </c>
      <c r="G153" t="s">
        <v>11</v>
      </c>
      <c r="H153" t="s">
        <v>51</v>
      </c>
      <c r="I153" t="s">
        <v>13</v>
      </c>
    </row>
    <row r="154" spans="1:9" x14ac:dyDescent="0.25">
      <c r="A154">
        <v>10612</v>
      </c>
      <c r="B154" s="1">
        <v>44816</v>
      </c>
      <c r="C154" t="s">
        <v>9</v>
      </c>
      <c r="D154">
        <v>3.49</v>
      </c>
      <c r="E154">
        <v>630.37</v>
      </c>
      <c r="F154" t="s">
        <v>10</v>
      </c>
      <c r="G154" t="s">
        <v>11</v>
      </c>
      <c r="H154" t="s">
        <v>51</v>
      </c>
      <c r="I154" t="s">
        <v>13</v>
      </c>
    </row>
    <row r="155" spans="1:9" x14ac:dyDescent="0.25">
      <c r="A155">
        <v>10613</v>
      </c>
      <c r="B155" s="1">
        <v>44816</v>
      </c>
      <c r="C155" t="s">
        <v>14</v>
      </c>
      <c r="D155">
        <v>2.95</v>
      </c>
      <c r="E155">
        <v>677.97</v>
      </c>
      <c r="F155" t="s">
        <v>10</v>
      </c>
      <c r="G155" t="s">
        <v>11</v>
      </c>
      <c r="H155" t="s">
        <v>51</v>
      </c>
      <c r="I155" t="s">
        <v>13</v>
      </c>
    </row>
    <row r="156" spans="1:9" x14ac:dyDescent="0.25">
      <c r="A156">
        <v>10614</v>
      </c>
      <c r="B156" s="1">
        <v>44816</v>
      </c>
      <c r="C156" t="s">
        <v>17</v>
      </c>
      <c r="D156">
        <v>4.99</v>
      </c>
      <c r="E156">
        <v>200.4</v>
      </c>
      <c r="F156" t="s">
        <v>10</v>
      </c>
      <c r="G156" t="s">
        <v>11</v>
      </c>
      <c r="H156" t="s">
        <v>51</v>
      </c>
      <c r="I156" t="s">
        <v>13</v>
      </c>
    </row>
    <row r="157" spans="1:9" x14ac:dyDescent="0.25">
      <c r="A157">
        <v>10615</v>
      </c>
      <c r="B157" s="1">
        <v>44846</v>
      </c>
      <c r="C157" t="s">
        <v>21</v>
      </c>
      <c r="D157">
        <v>12.99</v>
      </c>
      <c r="E157">
        <v>569.66999999999996</v>
      </c>
      <c r="F157" t="s">
        <v>10</v>
      </c>
      <c r="G157" t="s">
        <v>11</v>
      </c>
      <c r="H157" t="s">
        <v>51</v>
      </c>
      <c r="I157" t="s">
        <v>13</v>
      </c>
    </row>
    <row r="158" spans="1:9" x14ac:dyDescent="0.25">
      <c r="A158">
        <v>10616</v>
      </c>
      <c r="B158" s="1">
        <v>44846</v>
      </c>
      <c r="C158" t="s">
        <v>25</v>
      </c>
      <c r="D158">
        <v>9.9499999999999993</v>
      </c>
      <c r="E158">
        <v>201.01</v>
      </c>
      <c r="F158" t="s">
        <v>10</v>
      </c>
      <c r="G158" t="s">
        <v>11</v>
      </c>
      <c r="H158" t="s">
        <v>51</v>
      </c>
      <c r="I158" t="s">
        <v>13</v>
      </c>
    </row>
    <row r="159" spans="1:9" x14ac:dyDescent="0.25">
      <c r="A159">
        <v>10617</v>
      </c>
      <c r="B159" s="1">
        <v>44846</v>
      </c>
      <c r="C159" t="s">
        <v>9</v>
      </c>
      <c r="D159">
        <v>3.49</v>
      </c>
      <c r="E159">
        <v>630.37</v>
      </c>
      <c r="F159" t="s">
        <v>10</v>
      </c>
      <c r="G159" t="s">
        <v>11</v>
      </c>
      <c r="H159" t="s">
        <v>51</v>
      </c>
      <c r="I159" t="s">
        <v>13</v>
      </c>
    </row>
    <row r="160" spans="1:9" x14ac:dyDescent="0.25">
      <c r="A160">
        <v>10618</v>
      </c>
      <c r="B160" s="1">
        <v>44846</v>
      </c>
      <c r="C160" t="s">
        <v>14</v>
      </c>
      <c r="D160">
        <v>2.95</v>
      </c>
      <c r="E160">
        <v>677.97</v>
      </c>
      <c r="F160" t="s">
        <v>10</v>
      </c>
      <c r="G160" t="s">
        <v>11</v>
      </c>
      <c r="H160" t="s">
        <v>51</v>
      </c>
      <c r="I160" t="s">
        <v>13</v>
      </c>
    </row>
    <row r="161" spans="1:9" x14ac:dyDescent="0.25">
      <c r="A161">
        <v>10619</v>
      </c>
      <c r="B161" s="1">
        <v>44846</v>
      </c>
      <c r="C161" t="s">
        <v>17</v>
      </c>
      <c r="D161">
        <v>4.99</v>
      </c>
      <c r="E161">
        <v>200.4</v>
      </c>
      <c r="F161" t="s">
        <v>10</v>
      </c>
      <c r="G161" t="s">
        <v>11</v>
      </c>
      <c r="H161" t="s">
        <v>51</v>
      </c>
      <c r="I161" t="s">
        <v>13</v>
      </c>
    </row>
    <row r="162" spans="1:9" x14ac:dyDescent="0.25">
      <c r="A162">
        <v>10620</v>
      </c>
      <c r="B162" s="1">
        <v>44877</v>
      </c>
      <c r="C162" t="s">
        <v>21</v>
      </c>
      <c r="D162">
        <v>12.99</v>
      </c>
      <c r="E162">
        <v>585.07000000000005</v>
      </c>
      <c r="F162" t="s">
        <v>10</v>
      </c>
      <c r="G162" t="s">
        <v>11</v>
      </c>
      <c r="H162" t="s">
        <v>51</v>
      </c>
      <c r="I162" t="s">
        <v>13</v>
      </c>
    </row>
    <row r="163" spans="1:9" x14ac:dyDescent="0.25">
      <c r="A163">
        <v>10621</v>
      </c>
      <c r="B163" s="1">
        <v>44877</v>
      </c>
      <c r="C163" t="s">
        <v>25</v>
      </c>
      <c r="D163">
        <v>9.9499999999999993</v>
      </c>
      <c r="E163">
        <v>201.01</v>
      </c>
      <c r="F163" t="s">
        <v>10</v>
      </c>
      <c r="G163" t="s">
        <v>11</v>
      </c>
      <c r="H163" t="s">
        <v>51</v>
      </c>
      <c r="I163" t="s">
        <v>13</v>
      </c>
    </row>
    <row r="164" spans="1:9" x14ac:dyDescent="0.25">
      <c r="A164">
        <v>10622</v>
      </c>
      <c r="B164" s="1">
        <v>44877</v>
      </c>
      <c r="C164" t="s">
        <v>9</v>
      </c>
      <c r="D164">
        <v>3.49</v>
      </c>
      <c r="E164">
        <v>630.37</v>
      </c>
      <c r="F164" t="s">
        <v>10</v>
      </c>
      <c r="G164" t="s">
        <v>11</v>
      </c>
      <c r="H164" t="s">
        <v>51</v>
      </c>
      <c r="I164" t="s">
        <v>13</v>
      </c>
    </row>
    <row r="165" spans="1:9" x14ac:dyDescent="0.25">
      <c r="A165">
        <v>10623</v>
      </c>
      <c r="B165" s="1">
        <v>44877</v>
      </c>
      <c r="C165" t="s">
        <v>14</v>
      </c>
      <c r="D165">
        <v>2.95</v>
      </c>
      <c r="E165">
        <v>745.76</v>
      </c>
      <c r="F165" t="s">
        <v>10</v>
      </c>
      <c r="G165" t="s">
        <v>11</v>
      </c>
      <c r="H165" t="s">
        <v>51</v>
      </c>
      <c r="I165" t="s">
        <v>13</v>
      </c>
    </row>
    <row r="166" spans="1:9" x14ac:dyDescent="0.25">
      <c r="A166">
        <v>10624</v>
      </c>
      <c r="B166" s="1">
        <v>44877</v>
      </c>
      <c r="C166" t="s">
        <v>17</v>
      </c>
      <c r="D166">
        <v>4.99</v>
      </c>
      <c r="E166">
        <v>200.4</v>
      </c>
      <c r="F166" t="s">
        <v>10</v>
      </c>
      <c r="G166" t="s">
        <v>11</v>
      </c>
      <c r="H166" t="s">
        <v>51</v>
      </c>
      <c r="I166" t="s">
        <v>13</v>
      </c>
    </row>
    <row r="167" spans="1:9" x14ac:dyDescent="0.25">
      <c r="A167">
        <v>10625</v>
      </c>
      <c r="B167" s="1">
        <v>44907</v>
      </c>
      <c r="C167" t="s">
        <v>21</v>
      </c>
      <c r="D167">
        <v>12.99</v>
      </c>
      <c r="E167">
        <v>569.66999999999996</v>
      </c>
      <c r="F167" t="s">
        <v>10</v>
      </c>
      <c r="G167" t="s">
        <v>11</v>
      </c>
      <c r="H167" t="s">
        <v>51</v>
      </c>
      <c r="I167" t="s">
        <v>13</v>
      </c>
    </row>
    <row r="168" spans="1:9" x14ac:dyDescent="0.25">
      <c r="A168">
        <v>10626</v>
      </c>
      <c r="B168" s="1">
        <v>44907</v>
      </c>
      <c r="C168" t="s">
        <v>25</v>
      </c>
      <c r="D168">
        <v>9.9499999999999993</v>
      </c>
      <c r="E168">
        <v>201.01</v>
      </c>
      <c r="F168" t="s">
        <v>10</v>
      </c>
      <c r="G168" t="s">
        <v>11</v>
      </c>
      <c r="H168" t="s">
        <v>51</v>
      </c>
      <c r="I168" t="s">
        <v>13</v>
      </c>
    </row>
    <row r="169" spans="1:9" x14ac:dyDescent="0.25">
      <c r="A169">
        <v>10627</v>
      </c>
      <c r="B169" s="1">
        <v>44907</v>
      </c>
      <c r="C169" t="s">
        <v>9</v>
      </c>
      <c r="D169">
        <v>3.49</v>
      </c>
      <c r="E169">
        <v>630.37</v>
      </c>
      <c r="F169" t="s">
        <v>10</v>
      </c>
      <c r="G169" t="s">
        <v>11</v>
      </c>
      <c r="H169" t="s">
        <v>51</v>
      </c>
      <c r="I169" t="s">
        <v>13</v>
      </c>
    </row>
    <row r="170" spans="1:9" x14ac:dyDescent="0.25">
      <c r="A170">
        <v>10628</v>
      </c>
      <c r="B170" s="1">
        <v>44907</v>
      </c>
      <c r="C170" t="s">
        <v>14</v>
      </c>
      <c r="D170">
        <v>2.95</v>
      </c>
      <c r="E170">
        <v>677.97</v>
      </c>
      <c r="F170" t="s">
        <v>10</v>
      </c>
      <c r="G170" t="s">
        <v>11</v>
      </c>
      <c r="H170" t="s">
        <v>36</v>
      </c>
      <c r="I170" t="s">
        <v>20</v>
      </c>
    </row>
    <row r="171" spans="1:9" x14ac:dyDescent="0.25">
      <c r="A171">
        <v>10629</v>
      </c>
      <c r="B171" s="1">
        <v>44907</v>
      </c>
      <c r="C171" t="s">
        <v>17</v>
      </c>
      <c r="D171">
        <v>4.99</v>
      </c>
      <c r="E171">
        <v>200.4</v>
      </c>
      <c r="F171" t="s">
        <v>10</v>
      </c>
      <c r="G171" t="s">
        <v>11</v>
      </c>
      <c r="H171" t="s">
        <v>36</v>
      </c>
      <c r="I171" t="s">
        <v>20</v>
      </c>
    </row>
    <row r="172" spans="1:9" x14ac:dyDescent="0.25">
      <c r="A172">
        <v>10630</v>
      </c>
      <c r="B172" t="s">
        <v>57</v>
      </c>
      <c r="C172" t="s">
        <v>21</v>
      </c>
      <c r="D172">
        <v>12.99</v>
      </c>
      <c r="E172">
        <v>569.66999999999996</v>
      </c>
      <c r="F172" t="s">
        <v>10</v>
      </c>
      <c r="G172" t="s">
        <v>44</v>
      </c>
      <c r="H172" t="s">
        <v>36</v>
      </c>
      <c r="I172" t="s">
        <v>20</v>
      </c>
    </row>
    <row r="173" spans="1:9" x14ac:dyDescent="0.25">
      <c r="A173">
        <v>10631</v>
      </c>
      <c r="B173" t="s">
        <v>57</v>
      </c>
      <c r="C173" t="s">
        <v>25</v>
      </c>
      <c r="D173">
        <v>9.9499999999999993</v>
      </c>
      <c r="E173">
        <v>201.01</v>
      </c>
      <c r="F173" t="s">
        <v>10</v>
      </c>
      <c r="G173" t="s">
        <v>11</v>
      </c>
      <c r="H173" t="s">
        <v>36</v>
      </c>
      <c r="I173" t="s">
        <v>20</v>
      </c>
    </row>
    <row r="174" spans="1:9" x14ac:dyDescent="0.25">
      <c r="A174">
        <v>10632</v>
      </c>
      <c r="B174" t="s">
        <v>57</v>
      </c>
      <c r="C174" t="s">
        <v>9</v>
      </c>
      <c r="D174">
        <v>3.49</v>
      </c>
      <c r="E174">
        <v>630.37</v>
      </c>
      <c r="F174" t="s">
        <v>10</v>
      </c>
      <c r="G174" t="s">
        <v>11</v>
      </c>
      <c r="H174" t="s">
        <v>36</v>
      </c>
      <c r="I174" t="s">
        <v>20</v>
      </c>
    </row>
    <row r="175" spans="1:9" x14ac:dyDescent="0.25">
      <c r="A175">
        <v>10633</v>
      </c>
      <c r="B175" t="s">
        <v>57</v>
      </c>
      <c r="C175" t="s">
        <v>14</v>
      </c>
      <c r="D175">
        <v>2.95</v>
      </c>
      <c r="E175">
        <v>677.97</v>
      </c>
      <c r="F175" t="s">
        <v>10</v>
      </c>
      <c r="G175" t="s">
        <v>11</v>
      </c>
      <c r="H175" t="s">
        <v>36</v>
      </c>
      <c r="I175" t="s">
        <v>20</v>
      </c>
    </row>
    <row r="176" spans="1:9" x14ac:dyDescent="0.25">
      <c r="A176">
        <v>10634</v>
      </c>
      <c r="B176" t="s">
        <v>57</v>
      </c>
      <c r="C176" t="s">
        <v>17</v>
      </c>
      <c r="D176">
        <v>4.99</v>
      </c>
      <c r="E176">
        <v>200.4</v>
      </c>
      <c r="F176" t="s">
        <v>10</v>
      </c>
      <c r="G176" t="s">
        <v>11</v>
      </c>
      <c r="H176" t="s">
        <v>36</v>
      </c>
      <c r="I176" t="s">
        <v>20</v>
      </c>
    </row>
    <row r="177" spans="1:9" x14ac:dyDescent="0.25">
      <c r="A177">
        <v>10635</v>
      </c>
      <c r="B177" t="s">
        <v>58</v>
      </c>
      <c r="C177" t="s">
        <v>21</v>
      </c>
      <c r="D177">
        <v>12.99</v>
      </c>
      <c r="E177">
        <v>554.27</v>
      </c>
      <c r="F177" t="s">
        <v>10</v>
      </c>
      <c r="G177" t="s">
        <v>11</v>
      </c>
      <c r="H177" t="s">
        <v>36</v>
      </c>
      <c r="I177" t="s">
        <v>20</v>
      </c>
    </row>
    <row r="178" spans="1:9" x14ac:dyDescent="0.25">
      <c r="A178">
        <v>10636</v>
      </c>
      <c r="B178" t="s">
        <v>58</v>
      </c>
      <c r="C178" t="s">
        <v>25</v>
      </c>
      <c r="D178">
        <v>9.9499999999999993</v>
      </c>
      <c r="E178">
        <v>221.11</v>
      </c>
      <c r="F178" t="s">
        <v>10</v>
      </c>
      <c r="G178" t="s">
        <v>11</v>
      </c>
      <c r="H178" t="s">
        <v>36</v>
      </c>
      <c r="I178" t="s">
        <v>20</v>
      </c>
    </row>
    <row r="179" spans="1:9" x14ac:dyDescent="0.25">
      <c r="A179">
        <v>10637</v>
      </c>
      <c r="B179" t="s">
        <v>58</v>
      </c>
      <c r="C179" t="s">
        <v>9</v>
      </c>
      <c r="D179">
        <v>3.49</v>
      </c>
      <c r="E179">
        <v>630.37</v>
      </c>
      <c r="F179" t="s">
        <v>10</v>
      </c>
      <c r="G179" t="s">
        <v>11</v>
      </c>
      <c r="H179" t="s">
        <v>36</v>
      </c>
      <c r="I179" t="s">
        <v>20</v>
      </c>
    </row>
    <row r="180" spans="1:9" x14ac:dyDescent="0.25">
      <c r="A180">
        <v>10638</v>
      </c>
      <c r="B180" t="s">
        <v>58</v>
      </c>
      <c r="C180" t="s">
        <v>14</v>
      </c>
      <c r="D180">
        <v>2.95</v>
      </c>
      <c r="E180">
        <v>677.97</v>
      </c>
      <c r="F180" t="s">
        <v>10</v>
      </c>
      <c r="G180" t="s">
        <v>11</v>
      </c>
      <c r="H180" t="s">
        <v>36</v>
      </c>
      <c r="I180" t="s">
        <v>20</v>
      </c>
    </row>
    <row r="181" spans="1:9" x14ac:dyDescent="0.25">
      <c r="A181">
        <v>10639</v>
      </c>
      <c r="B181" t="s">
        <v>58</v>
      </c>
      <c r="C181" t="s">
        <v>17</v>
      </c>
      <c r="D181">
        <v>4.99</v>
      </c>
      <c r="E181">
        <v>200.4</v>
      </c>
      <c r="F181" t="s">
        <v>10</v>
      </c>
      <c r="G181" t="s">
        <v>11</v>
      </c>
      <c r="H181" t="s">
        <v>36</v>
      </c>
      <c r="I181" t="s">
        <v>20</v>
      </c>
    </row>
    <row r="182" spans="1:9" x14ac:dyDescent="0.25">
      <c r="A182">
        <v>10640</v>
      </c>
      <c r="B182" t="s">
        <v>59</v>
      </c>
      <c r="C182" t="s">
        <v>21</v>
      </c>
      <c r="D182">
        <v>12.99</v>
      </c>
      <c r="E182">
        <v>538.88</v>
      </c>
      <c r="F182" t="s">
        <v>10</v>
      </c>
      <c r="G182" t="s">
        <v>11</v>
      </c>
      <c r="H182" t="s">
        <v>36</v>
      </c>
      <c r="I182" t="s">
        <v>20</v>
      </c>
    </row>
    <row r="183" spans="1:9" x14ac:dyDescent="0.25">
      <c r="A183">
        <v>10641</v>
      </c>
      <c r="B183" t="s">
        <v>59</v>
      </c>
      <c r="C183" t="s">
        <v>25</v>
      </c>
      <c r="D183">
        <v>9.9499999999999993</v>
      </c>
      <c r="E183">
        <v>221.11</v>
      </c>
      <c r="F183" t="s">
        <v>10</v>
      </c>
      <c r="G183" t="s">
        <v>11</v>
      </c>
      <c r="H183" t="s">
        <v>36</v>
      </c>
      <c r="I183" t="s">
        <v>20</v>
      </c>
    </row>
    <row r="184" spans="1:9" x14ac:dyDescent="0.25">
      <c r="A184">
        <v>10642</v>
      </c>
      <c r="B184" t="s">
        <v>59</v>
      </c>
      <c r="C184" t="s">
        <v>9</v>
      </c>
      <c r="D184">
        <v>3.49</v>
      </c>
      <c r="E184">
        <v>630.37</v>
      </c>
      <c r="F184" t="s">
        <v>10</v>
      </c>
      <c r="G184" t="s">
        <v>44</v>
      </c>
      <c r="H184" t="s">
        <v>36</v>
      </c>
      <c r="I184" t="s">
        <v>20</v>
      </c>
    </row>
    <row r="185" spans="1:9" x14ac:dyDescent="0.25">
      <c r="A185">
        <v>10643</v>
      </c>
      <c r="B185" t="s">
        <v>59</v>
      </c>
      <c r="C185" t="s">
        <v>14</v>
      </c>
      <c r="D185">
        <v>2.95</v>
      </c>
      <c r="E185">
        <v>677.97</v>
      </c>
      <c r="F185" t="s">
        <v>10</v>
      </c>
      <c r="G185" t="s">
        <v>44</v>
      </c>
      <c r="H185" t="s">
        <v>36</v>
      </c>
      <c r="I185" t="s">
        <v>20</v>
      </c>
    </row>
    <row r="186" spans="1:9" x14ac:dyDescent="0.25">
      <c r="A186">
        <v>10644</v>
      </c>
      <c r="B186" t="s">
        <v>59</v>
      </c>
      <c r="C186" t="s">
        <v>17</v>
      </c>
      <c r="D186">
        <v>4.99</v>
      </c>
      <c r="E186">
        <v>200.4</v>
      </c>
      <c r="F186" t="s">
        <v>10</v>
      </c>
      <c r="G186" t="s">
        <v>44</v>
      </c>
      <c r="H186" t="s">
        <v>36</v>
      </c>
      <c r="I186" t="s">
        <v>20</v>
      </c>
    </row>
    <row r="187" spans="1:9" x14ac:dyDescent="0.25">
      <c r="A187">
        <v>10645</v>
      </c>
      <c r="B187" t="s">
        <v>60</v>
      </c>
      <c r="C187" t="s">
        <v>21</v>
      </c>
      <c r="D187">
        <v>12.99</v>
      </c>
      <c r="E187">
        <v>569.66999999999996</v>
      </c>
      <c r="F187" t="s">
        <v>10</v>
      </c>
      <c r="G187" t="s">
        <v>44</v>
      </c>
      <c r="H187" t="s">
        <v>36</v>
      </c>
      <c r="I187" t="s">
        <v>20</v>
      </c>
    </row>
    <row r="188" spans="1:9" x14ac:dyDescent="0.25">
      <c r="A188">
        <v>10646</v>
      </c>
      <c r="B188" t="s">
        <v>60</v>
      </c>
      <c r="C188" t="s">
        <v>25</v>
      </c>
      <c r="D188">
        <v>9.9499999999999993</v>
      </c>
      <c r="E188">
        <v>221.11</v>
      </c>
      <c r="F188" t="s">
        <v>10</v>
      </c>
      <c r="G188" t="s">
        <v>44</v>
      </c>
      <c r="H188" t="s">
        <v>36</v>
      </c>
      <c r="I188" t="s">
        <v>20</v>
      </c>
    </row>
    <row r="189" spans="1:9" x14ac:dyDescent="0.25">
      <c r="A189">
        <v>10647</v>
      </c>
      <c r="B189" t="s">
        <v>60</v>
      </c>
      <c r="C189" t="s">
        <v>9</v>
      </c>
      <c r="D189">
        <v>3.49</v>
      </c>
      <c r="E189">
        <v>630.37</v>
      </c>
      <c r="F189" t="s">
        <v>10</v>
      </c>
      <c r="G189" t="s">
        <v>11</v>
      </c>
      <c r="H189" t="s">
        <v>36</v>
      </c>
      <c r="I189" t="s">
        <v>20</v>
      </c>
    </row>
    <row r="190" spans="1:9" x14ac:dyDescent="0.25">
      <c r="A190">
        <v>10648</v>
      </c>
      <c r="B190" t="s">
        <v>60</v>
      </c>
      <c r="C190" t="s">
        <v>14</v>
      </c>
      <c r="D190">
        <v>2.95</v>
      </c>
      <c r="E190">
        <v>745.76</v>
      </c>
      <c r="F190" t="s">
        <v>10</v>
      </c>
      <c r="G190" t="s">
        <v>11</v>
      </c>
      <c r="H190" t="s">
        <v>36</v>
      </c>
      <c r="I190" t="s">
        <v>20</v>
      </c>
    </row>
    <row r="191" spans="1:9" x14ac:dyDescent="0.25">
      <c r="A191">
        <v>10649</v>
      </c>
      <c r="B191" t="s">
        <v>60</v>
      </c>
      <c r="C191" t="s">
        <v>17</v>
      </c>
      <c r="D191">
        <v>4.99</v>
      </c>
      <c r="E191">
        <v>200.4</v>
      </c>
      <c r="F191" t="s">
        <v>10</v>
      </c>
      <c r="G191" t="s">
        <v>11</v>
      </c>
      <c r="H191" t="s">
        <v>36</v>
      </c>
      <c r="I191" t="s">
        <v>20</v>
      </c>
    </row>
    <row r="192" spans="1:9" x14ac:dyDescent="0.25">
      <c r="A192">
        <v>10650</v>
      </c>
      <c r="B192" t="s">
        <v>61</v>
      </c>
      <c r="C192" t="s">
        <v>21</v>
      </c>
      <c r="D192">
        <v>12.99</v>
      </c>
      <c r="E192">
        <v>585.07000000000005</v>
      </c>
      <c r="F192" t="s">
        <v>10</v>
      </c>
      <c r="G192" t="s">
        <v>11</v>
      </c>
      <c r="H192" t="s">
        <v>36</v>
      </c>
      <c r="I192" t="s">
        <v>20</v>
      </c>
    </row>
    <row r="193" spans="1:9" x14ac:dyDescent="0.25">
      <c r="A193">
        <v>10651</v>
      </c>
      <c r="B193" t="s">
        <v>61</v>
      </c>
      <c r="C193" t="s">
        <v>25</v>
      </c>
      <c r="D193">
        <v>9.9499999999999993</v>
      </c>
      <c r="E193">
        <v>221.11</v>
      </c>
      <c r="F193" t="s">
        <v>10</v>
      </c>
      <c r="G193" t="s">
        <v>11</v>
      </c>
      <c r="H193" t="s">
        <v>36</v>
      </c>
      <c r="I193" t="s">
        <v>20</v>
      </c>
    </row>
    <row r="194" spans="1:9" x14ac:dyDescent="0.25">
      <c r="A194">
        <v>10652</v>
      </c>
      <c r="B194" t="s">
        <v>61</v>
      </c>
      <c r="C194" t="s">
        <v>9</v>
      </c>
      <c r="D194">
        <v>3.49</v>
      </c>
      <c r="E194">
        <v>687.68</v>
      </c>
      <c r="F194" t="s">
        <v>10</v>
      </c>
      <c r="G194" t="s">
        <v>11</v>
      </c>
      <c r="H194" t="s">
        <v>36</v>
      </c>
      <c r="I194" t="s">
        <v>20</v>
      </c>
    </row>
    <row r="195" spans="1:9" x14ac:dyDescent="0.25">
      <c r="A195">
        <v>10653</v>
      </c>
      <c r="B195" t="s">
        <v>61</v>
      </c>
      <c r="C195" t="s">
        <v>14</v>
      </c>
      <c r="D195">
        <v>2.95</v>
      </c>
      <c r="E195">
        <v>745.76</v>
      </c>
      <c r="F195" t="s">
        <v>10</v>
      </c>
      <c r="G195" t="s">
        <v>11</v>
      </c>
      <c r="H195" t="s">
        <v>36</v>
      </c>
      <c r="I195" t="s">
        <v>20</v>
      </c>
    </row>
    <row r="196" spans="1:9" x14ac:dyDescent="0.25">
      <c r="A196">
        <v>10654</v>
      </c>
      <c r="B196" t="s">
        <v>61</v>
      </c>
      <c r="C196" t="s">
        <v>17</v>
      </c>
      <c r="D196">
        <v>4.99</v>
      </c>
      <c r="E196">
        <v>200.4</v>
      </c>
      <c r="F196" t="s">
        <v>10</v>
      </c>
      <c r="G196" t="s">
        <v>11</v>
      </c>
      <c r="H196" t="s">
        <v>36</v>
      </c>
      <c r="I196" t="s">
        <v>20</v>
      </c>
    </row>
    <row r="197" spans="1:9" x14ac:dyDescent="0.25">
      <c r="A197">
        <v>10655</v>
      </c>
      <c r="B197" t="s">
        <v>62</v>
      </c>
      <c r="C197" t="s">
        <v>21</v>
      </c>
      <c r="D197">
        <v>12.99</v>
      </c>
      <c r="E197">
        <v>600.46</v>
      </c>
      <c r="F197" t="s">
        <v>10</v>
      </c>
      <c r="G197" t="s">
        <v>11</v>
      </c>
      <c r="H197" t="s">
        <v>36</v>
      </c>
      <c r="I197" t="s">
        <v>20</v>
      </c>
    </row>
    <row r="198" spans="1:9" x14ac:dyDescent="0.25">
      <c r="A198">
        <v>10656</v>
      </c>
      <c r="B198" t="s">
        <v>62</v>
      </c>
      <c r="C198" t="s">
        <v>25</v>
      </c>
      <c r="D198">
        <v>9.9499999999999993</v>
      </c>
      <c r="E198">
        <v>221.11</v>
      </c>
      <c r="F198" t="s">
        <v>10</v>
      </c>
      <c r="G198" t="s">
        <v>11</v>
      </c>
      <c r="H198" t="s">
        <v>36</v>
      </c>
      <c r="I198" t="s">
        <v>20</v>
      </c>
    </row>
    <row r="199" spans="1:9" x14ac:dyDescent="0.25">
      <c r="A199">
        <v>10657</v>
      </c>
      <c r="B199" t="s">
        <v>62</v>
      </c>
      <c r="C199" t="s">
        <v>9</v>
      </c>
      <c r="D199">
        <v>3.49</v>
      </c>
      <c r="E199">
        <v>687.68</v>
      </c>
      <c r="F199" t="s">
        <v>10</v>
      </c>
      <c r="G199" t="s">
        <v>11</v>
      </c>
      <c r="H199" t="s">
        <v>36</v>
      </c>
      <c r="I199" t="s">
        <v>20</v>
      </c>
    </row>
    <row r="200" spans="1:9" x14ac:dyDescent="0.25">
      <c r="A200">
        <v>10658</v>
      </c>
      <c r="B200" t="s">
        <v>62</v>
      </c>
      <c r="C200" t="s">
        <v>14</v>
      </c>
      <c r="D200">
        <v>2.95</v>
      </c>
      <c r="E200">
        <v>745.76</v>
      </c>
      <c r="F200" t="s">
        <v>10</v>
      </c>
      <c r="G200" t="s">
        <v>44</v>
      </c>
      <c r="H200" t="s">
        <v>36</v>
      </c>
      <c r="I200" t="s">
        <v>20</v>
      </c>
    </row>
    <row r="201" spans="1:9" x14ac:dyDescent="0.25">
      <c r="A201">
        <v>10659</v>
      </c>
      <c r="B201" t="s">
        <v>62</v>
      </c>
      <c r="C201" t="s">
        <v>17</v>
      </c>
      <c r="D201">
        <v>4.99</v>
      </c>
      <c r="E201">
        <v>200.4</v>
      </c>
      <c r="F201" t="s">
        <v>10</v>
      </c>
      <c r="G201" t="s">
        <v>44</v>
      </c>
      <c r="H201" t="s">
        <v>36</v>
      </c>
      <c r="I201" t="s">
        <v>20</v>
      </c>
    </row>
    <row r="202" spans="1:9" x14ac:dyDescent="0.25">
      <c r="A202">
        <v>10660</v>
      </c>
      <c r="B202" t="s">
        <v>63</v>
      </c>
      <c r="C202" t="s">
        <v>21</v>
      </c>
      <c r="D202">
        <v>12.99</v>
      </c>
      <c r="E202">
        <v>631.25</v>
      </c>
      <c r="F202" t="s">
        <v>18</v>
      </c>
      <c r="G202" t="s">
        <v>44</v>
      </c>
      <c r="H202" t="s">
        <v>36</v>
      </c>
      <c r="I202" t="s">
        <v>20</v>
      </c>
    </row>
    <row r="203" spans="1:9" x14ac:dyDescent="0.25">
      <c r="A203">
        <v>10661</v>
      </c>
      <c r="B203" t="s">
        <v>63</v>
      </c>
      <c r="C203" t="s">
        <v>25</v>
      </c>
      <c r="D203">
        <v>9.9499999999999993</v>
      </c>
      <c r="E203">
        <v>221.11</v>
      </c>
      <c r="F203" t="s">
        <v>18</v>
      </c>
      <c r="G203" t="s">
        <v>44</v>
      </c>
      <c r="H203" t="s">
        <v>36</v>
      </c>
      <c r="I203" t="s">
        <v>20</v>
      </c>
    </row>
    <row r="204" spans="1:9" x14ac:dyDescent="0.25">
      <c r="A204">
        <v>10662</v>
      </c>
      <c r="B204" t="s">
        <v>63</v>
      </c>
      <c r="C204" t="s">
        <v>9</v>
      </c>
      <c r="D204">
        <v>3.49</v>
      </c>
      <c r="E204">
        <v>630.37</v>
      </c>
      <c r="F204" t="s">
        <v>18</v>
      </c>
      <c r="G204" t="s">
        <v>44</v>
      </c>
      <c r="H204" t="s">
        <v>36</v>
      </c>
      <c r="I204" t="s">
        <v>20</v>
      </c>
    </row>
    <row r="205" spans="1:9" x14ac:dyDescent="0.25">
      <c r="A205">
        <v>10663</v>
      </c>
      <c r="B205" t="s">
        <v>63</v>
      </c>
      <c r="C205" t="s">
        <v>14</v>
      </c>
      <c r="D205">
        <v>2.95</v>
      </c>
      <c r="E205">
        <v>745.76</v>
      </c>
      <c r="F205" t="s">
        <v>18</v>
      </c>
      <c r="G205" t="s">
        <v>44</v>
      </c>
      <c r="H205" t="s">
        <v>36</v>
      </c>
      <c r="I205" t="s">
        <v>20</v>
      </c>
    </row>
    <row r="206" spans="1:9" x14ac:dyDescent="0.25">
      <c r="A206">
        <v>10664</v>
      </c>
      <c r="B206" t="s">
        <v>63</v>
      </c>
      <c r="C206" t="s">
        <v>17</v>
      </c>
      <c r="D206">
        <v>4.99</v>
      </c>
      <c r="E206">
        <v>200.4</v>
      </c>
      <c r="F206" t="s">
        <v>18</v>
      </c>
      <c r="G206" t="s">
        <v>44</v>
      </c>
      <c r="H206" t="s">
        <v>36</v>
      </c>
      <c r="I206" t="s">
        <v>20</v>
      </c>
    </row>
    <row r="207" spans="1:9" x14ac:dyDescent="0.25">
      <c r="A207">
        <v>10665</v>
      </c>
      <c r="B207" t="s">
        <v>64</v>
      </c>
      <c r="C207" t="s">
        <v>21</v>
      </c>
      <c r="D207">
        <v>12.99</v>
      </c>
      <c r="E207">
        <v>646.65</v>
      </c>
      <c r="F207" t="s">
        <v>18</v>
      </c>
      <c r="G207" t="s">
        <v>44</v>
      </c>
      <c r="H207" t="s">
        <v>36</v>
      </c>
      <c r="I207" t="s">
        <v>20</v>
      </c>
    </row>
    <row r="208" spans="1:9" x14ac:dyDescent="0.25">
      <c r="A208">
        <v>10666</v>
      </c>
      <c r="B208" t="s">
        <v>64</v>
      </c>
      <c r="C208" t="s">
        <v>25</v>
      </c>
      <c r="D208">
        <v>9.9499999999999993</v>
      </c>
      <c r="E208">
        <v>221.11</v>
      </c>
      <c r="F208" t="s">
        <v>18</v>
      </c>
      <c r="G208" t="s">
        <v>44</v>
      </c>
      <c r="H208" t="s">
        <v>36</v>
      </c>
      <c r="I208" t="s">
        <v>20</v>
      </c>
    </row>
    <row r="209" spans="1:9" x14ac:dyDescent="0.25">
      <c r="A209">
        <v>10667</v>
      </c>
      <c r="B209" t="s">
        <v>64</v>
      </c>
      <c r="C209" t="s">
        <v>9</v>
      </c>
      <c r="D209">
        <v>3.49</v>
      </c>
      <c r="E209">
        <v>630.37</v>
      </c>
      <c r="F209" t="s">
        <v>18</v>
      </c>
      <c r="G209" t="s">
        <v>44</v>
      </c>
      <c r="H209" t="s">
        <v>36</v>
      </c>
      <c r="I209" t="s">
        <v>20</v>
      </c>
    </row>
    <row r="210" spans="1:9" x14ac:dyDescent="0.25">
      <c r="A210">
        <v>10668</v>
      </c>
      <c r="B210" t="s">
        <v>64</v>
      </c>
      <c r="C210" t="s">
        <v>14</v>
      </c>
      <c r="D210">
        <v>2.95</v>
      </c>
      <c r="E210">
        <v>745.76</v>
      </c>
      <c r="F210" t="s">
        <v>18</v>
      </c>
      <c r="G210" t="s">
        <v>44</v>
      </c>
      <c r="H210" t="s">
        <v>36</v>
      </c>
      <c r="I210" t="s">
        <v>20</v>
      </c>
    </row>
    <row r="211" spans="1:9" x14ac:dyDescent="0.25">
      <c r="A211">
        <v>10669</v>
      </c>
      <c r="B211" t="s">
        <v>64</v>
      </c>
      <c r="C211" t="s">
        <v>17</v>
      </c>
      <c r="D211">
        <v>4.99</v>
      </c>
      <c r="E211">
        <v>200.4</v>
      </c>
      <c r="F211" t="s">
        <v>18</v>
      </c>
      <c r="G211" t="s">
        <v>44</v>
      </c>
      <c r="H211" t="s">
        <v>36</v>
      </c>
      <c r="I211" t="s">
        <v>20</v>
      </c>
    </row>
    <row r="212" spans="1:9" x14ac:dyDescent="0.25">
      <c r="A212">
        <v>10670</v>
      </c>
      <c r="B212" t="s">
        <v>65</v>
      </c>
      <c r="C212" t="s">
        <v>21</v>
      </c>
      <c r="D212">
        <v>12.99</v>
      </c>
      <c r="E212">
        <v>677.44</v>
      </c>
      <c r="F212" t="s">
        <v>18</v>
      </c>
      <c r="G212" t="s">
        <v>44</v>
      </c>
      <c r="H212" t="s">
        <v>36</v>
      </c>
      <c r="I212" t="s">
        <v>20</v>
      </c>
    </row>
    <row r="213" spans="1:9" x14ac:dyDescent="0.25">
      <c r="A213">
        <v>10671</v>
      </c>
      <c r="B213" t="s">
        <v>65</v>
      </c>
      <c r="C213" t="s">
        <v>25</v>
      </c>
      <c r="D213">
        <v>9.9499999999999993</v>
      </c>
      <c r="E213">
        <v>221.11</v>
      </c>
      <c r="F213" t="s">
        <v>18</v>
      </c>
      <c r="G213" t="s">
        <v>44</v>
      </c>
      <c r="H213" t="s">
        <v>36</v>
      </c>
      <c r="I213" t="s">
        <v>20</v>
      </c>
    </row>
    <row r="214" spans="1:9" x14ac:dyDescent="0.25">
      <c r="A214">
        <v>10672</v>
      </c>
      <c r="B214" t="s">
        <v>65</v>
      </c>
      <c r="C214" t="s">
        <v>9</v>
      </c>
      <c r="D214">
        <v>3.49</v>
      </c>
      <c r="E214">
        <v>630.37</v>
      </c>
      <c r="F214" t="s">
        <v>18</v>
      </c>
      <c r="G214" t="s">
        <v>44</v>
      </c>
      <c r="H214" t="s">
        <v>36</v>
      </c>
      <c r="I214" t="s">
        <v>20</v>
      </c>
    </row>
    <row r="215" spans="1:9" x14ac:dyDescent="0.25">
      <c r="A215">
        <v>10673</v>
      </c>
      <c r="B215" t="s">
        <v>65</v>
      </c>
      <c r="C215" t="s">
        <v>14</v>
      </c>
      <c r="D215">
        <v>2.95</v>
      </c>
      <c r="E215">
        <v>745.76</v>
      </c>
      <c r="F215" t="s">
        <v>18</v>
      </c>
      <c r="G215" t="s">
        <v>44</v>
      </c>
      <c r="H215" t="s">
        <v>36</v>
      </c>
      <c r="I215" t="s">
        <v>20</v>
      </c>
    </row>
    <row r="216" spans="1:9" x14ac:dyDescent="0.25">
      <c r="A216">
        <v>10674</v>
      </c>
      <c r="B216" t="s">
        <v>65</v>
      </c>
      <c r="C216" t="s">
        <v>17</v>
      </c>
      <c r="D216">
        <v>4.99</v>
      </c>
      <c r="E216">
        <v>200.4</v>
      </c>
      <c r="F216" t="s">
        <v>18</v>
      </c>
      <c r="G216" t="s">
        <v>44</v>
      </c>
      <c r="H216" t="s">
        <v>36</v>
      </c>
      <c r="I216" t="s">
        <v>20</v>
      </c>
    </row>
    <row r="217" spans="1:9" x14ac:dyDescent="0.25">
      <c r="A217">
        <v>10675</v>
      </c>
      <c r="B217" t="s">
        <v>66</v>
      </c>
      <c r="C217" t="s">
        <v>21</v>
      </c>
      <c r="D217">
        <v>12.99</v>
      </c>
      <c r="E217">
        <v>677.44</v>
      </c>
      <c r="F217" t="s">
        <v>18</v>
      </c>
      <c r="G217" t="s">
        <v>44</v>
      </c>
      <c r="H217" t="s">
        <v>36</v>
      </c>
      <c r="I217" t="s">
        <v>20</v>
      </c>
    </row>
    <row r="218" spans="1:9" x14ac:dyDescent="0.25">
      <c r="A218">
        <v>10676</v>
      </c>
      <c r="B218" t="s">
        <v>66</v>
      </c>
      <c r="C218" t="s">
        <v>25</v>
      </c>
      <c r="D218">
        <v>9.9499999999999993</v>
      </c>
      <c r="E218">
        <v>241.21</v>
      </c>
      <c r="F218" t="s">
        <v>18</v>
      </c>
      <c r="G218" t="s">
        <v>44</v>
      </c>
      <c r="H218" t="s">
        <v>36</v>
      </c>
      <c r="I218" t="s">
        <v>20</v>
      </c>
    </row>
    <row r="219" spans="1:9" x14ac:dyDescent="0.25">
      <c r="A219">
        <v>10677</v>
      </c>
      <c r="B219" t="s">
        <v>66</v>
      </c>
      <c r="C219" t="s">
        <v>9</v>
      </c>
      <c r="D219">
        <v>3.49</v>
      </c>
      <c r="E219">
        <v>630.37</v>
      </c>
      <c r="F219" t="s">
        <v>18</v>
      </c>
      <c r="G219" t="s">
        <v>44</v>
      </c>
      <c r="H219" t="s">
        <v>36</v>
      </c>
      <c r="I219" t="s">
        <v>20</v>
      </c>
    </row>
    <row r="220" spans="1:9" x14ac:dyDescent="0.25">
      <c r="A220">
        <v>10678</v>
      </c>
      <c r="B220" t="s">
        <v>66</v>
      </c>
      <c r="C220" t="s">
        <v>14</v>
      </c>
      <c r="D220">
        <v>2.95</v>
      </c>
      <c r="E220">
        <v>745.76</v>
      </c>
      <c r="F220" t="s">
        <v>18</v>
      </c>
      <c r="G220" t="s">
        <v>44</v>
      </c>
      <c r="H220" t="s">
        <v>36</v>
      </c>
      <c r="I220" t="s">
        <v>20</v>
      </c>
    </row>
    <row r="221" spans="1:9" x14ac:dyDescent="0.25">
      <c r="A221">
        <v>10679</v>
      </c>
      <c r="B221" t="s">
        <v>66</v>
      </c>
      <c r="C221" t="s">
        <v>17</v>
      </c>
      <c r="D221">
        <v>4.99</v>
      </c>
      <c r="E221">
        <v>200.4</v>
      </c>
      <c r="F221" t="s">
        <v>18</v>
      </c>
      <c r="G221" t="s">
        <v>44</v>
      </c>
      <c r="H221" t="s">
        <v>36</v>
      </c>
      <c r="I221" t="s">
        <v>20</v>
      </c>
    </row>
    <row r="222" spans="1:9" x14ac:dyDescent="0.25">
      <c r="A222">
        <v>10680</v>
      </c>
      <c r="B222" t="s">
        <v>67</v>
      </c>
      <c r="C222" t="s">
        <v>21</v>
      </c>
      <c r="D222">
        <v>12.99</v>
      </c>
      <c r="E222">
        <v>646.65</v>
      </c>
      <c r="F222" t="s">
        <v>18</v>
      </c>
      <c r="G222" t="s">
        <v>44</v>
      </c>
      <c r="H222" t="s">
        <v>36</v>
      </c>
      <c r="I222" t="s">
        <v>20</v>
      </c>
    </row>
    <row r="223" spans="1:9" x14ac:dyDescent="0.25">
      <c r="A223">
        <v>10681</v>
      </c>
      <c r="B223" t="s">
        <v>67</v>
      </c>
      <c r="C223" t="s">
        <v>25</v>
      </c>
      <c r="D223">
        <v>9.9499999999999993</v>
      </c>
      <c r="E223">
        <v>241.21</v>
      </c>
      <c r="F223" t="s">
        <v>18</v>
      </c>
      <c r="G223" t="s">
        <v>44</v>
      </c>
      <c r="H223" t="s">
        <v>36</v>
      </c>
      <c r="I223" t="s">
        <v>20</v>
      </c>
    </row>
    <row r="224" spans="1:9" x14ac:dyDescent="0.25">
      <c r="A224">
        <v>10682</v>
      </c>
      <c r="B224" t="s">
        <v>67</v>
      </c>
      <c r="C224" t="s">
        <v>9</v>
      </c>
      <c r="D224">
        <v>3.49</v>
      </c>
      <c r="E224">
        <v>630.37</v>
      </c>
      <c r="F224" t="s">
        <v>18</v>
      </c>
      <c r="G224" t="s">
        <v>44</v>
      </c>
      <c r="H224" t="s">
        <v>36</v>
      </c>
      <c r="I224" t="s">
        <v>20</v>
      </c>
    </row>
    <row r="225" spans="1:9" x14ac:dyDescent="0.25">
      <c r="A225">
        <v>10683</v>
      </c>
      <c r="B225" t="s">
        <v>67</v>
      </c>
      <c r="C225" t="s">
        <v>14</v>
      </c>
      <c r="D225">
        <v>2.95</v>
      </c>
      <c r="E225">
        <v>677.97</v>
      </c>
      <c r="F225" t="s">
        <v>18</v>
      </c>
      <c r="G225" t="s">
        <v>44</v>
      </c>
      <c r="H225" t="s">
        <v>36</v>
      </c>
      <c r="I225" t="s">
        <v>20</v>
      </c>
    </row>
    <row r="226" spans="1:9" x14ac:dyDescent="0.25">
      <c r="A226">
        <v>10684</v>
      </c>
      <c r="B226" t="s">
        <v>67</v>
      </c>
      <c r="C226" t="s">
        <v>17</v>
      </c>
      <c r="D226">
        <v>4.99</v>
      </c>
      <c r="E226">
        <v>200.4</v>
      </c>
      <c r="F226" t="s">
        <v>18</v>
      </c>
      <c r="G226" t="s">
        <v>44</v>
      </c>
      <c r="H226" t="s">
        <v>36</v>
      </c>
      <c r="I226" t="s">
        <v>20</v>
      </c>
    </row>
    <row r="227" spans="1:9" x14ac:dyDescent="0.25">
      <c r="A227">
        <v>10685</v>
      </c>
      <c r="B227" t="s">
        <v>68</v>
      </c>
      <c r="C227" t="s">
        <v>21</v>
      </c>
      <c r="D227">
        <v>12.99</v>
      </c>
      <c r="E227">
        <v>677.44</v>
      </c>
      <c r="F227" t="s">
        <v>18</v>
      </c>
      <c r="G227" t="s">
        <v>44</v>
      </c>
      <c r="H227" t="s">
        <v>36</v>
      </c>
      <c r="I227" t="s">
        <v>20</v>
      </c>
    </row>
    <row r="228" spans="1:9" x14ac:dyDescent="0.25">
      <c r="A228">
        <v>10686</v>
      </c>
      <c r="B228" t="s">
        <v>68</v>
      </c>
      <c r="C228" t="s">
        <v>25</v>
      </c>
      <c r="D228">
        <v>9.9499999999999993</v>
      </c>
      <c r="E228">
        <v>241.21</v>
      </c>
      <c r="F228" t="s">
        <v>18</v>
      </c>
      <c r="G228" t="s">
        <v>44</v>
      </c>
      <c r="H228" t="s">
        <v>36</v>
      </c>
      <c r="I228" t="s">
        <v>20</v>
      </c>
    </row>
    <row r="229" spans="1:9" x14ac:dyDescent="0.25">
      <c r="A229">
        <v>10687</v>
      </c>
      <c r="B229" t="s">
        <v>68</v>
      </c>
      <c r="C229" t="s">
        <v>9</v>
      </c>
      <c r="D229">
        <v>3.49</v>
      </c>
      <c r="E229">
        <v>630.37</v>
      </c>
      <c r="F229" t="s">
        <v>18</v>
      </c>
      <c r="G229" t="s">
        <v>44</v>
      </c>
      <c r="H229" t="s">
        <v>23</v>
      </c>
      <c r="I229" t="s">
        <v>24</v>
      </c>
    </row>
    <row r="230" spans="1:9" x14ac:dyDescent="0.25">
      <c r="A230">
        <v>10688</v>
      </c>
      <c r="B230" t="s">
        <v>68</v>
      </c>
      <c r="C230" t="s">
        <v>14</v>
      </c>
      <c r="D230">
        <v>2.95</v>
      </c>
      <c r="E230">
        <v>677.97</v>
      </c>
      <c r="F230" t="s">
        <v>18</v>
      </c>
      <c r="G230" t="s">
        <v>44</v>
      </c>
      <c r="H230" t="s">
        <v>23</v>
      </c>
      <c r="I230" t="s">
        <v>24</v>
      </c>
    </row>
    <row r="231" spans="1:9" x14ac:dyDescent="0.25">
      <c r="A231">
        <v>10689</v>
      </c>
      <c r="B231" t="s">
        <v>68</v>
      </c>
      <c r="C231" t="s">
        <v>17</v>
      </c>
      <c r="D231">
        <v>4.99</v>
      </c>
      <c r="E231">
        <v>200.4</v>
      </c>
      <c r="F231" t="s">
        <v>18</v>
      </c>
      <c r="G231" t="s">
        <v>44</v>
      </c>
      <c r="H231" t="s">
        <v>23</v>
      </c>
      <c r="I231" t="s">
        <v>24</v>
      </c>
    </row>
    <row r="232" spans="1:9" x14ac:dyDescent="0.25">
      <c r="A232">
        <v>10690</v>
      </c>
      <c r="B232" t="s">
        <v>69</v>
      </c>
      <c r="C232" t="s">
        <v>21</v>
      </c>
      <c r="D232">
        <v>12.99</v>
      </c>
      <c r="E232">
        <v>677.44</v>
      </c>
      <c r="F232" t="s">
        <v>18</v>
      </c>
      <c r="G232" t="s">
        <v>44</v>
      </c>
      <c r="H232" t="s">
        <v>23</v>
      </c>
      <c r="I232" t="s">
        <v>24</v>
      </c>
    </row>
    <row r="233" spans="1:9" x14ac:dyDescent="0.25">
      <c r="A233">
        <v>10691</v>
      </c>
      <c r="B233" t="s">
        <v>69</v>
      </c>
      <c r="C233" t="s">
        <v>25</v>
      </c>
      <c r="D233">
        <v>9.9499999999999993</v>
      </c>
      <c r="E233">
        <v>261.31</v>
      </c>
      <c r="F233" t="s">
        <v>18</v>
      </c>
      <c r="G233" t="s">
        <v>44</v>
      </c>
      <c r="H233" t="s">
        <v>23</v>
      </c>
      <c r="I233" t="s">
        <v>24</v>
      </c>
    </row>
    <row r="234" spans="1:9" x14ac:dyDescent="0.25">
      <c r="A234">
        <v>10692</v>
      </c>
      <c r="B234" t="s">
        <v>69</v>
      </c>
      <c r="C234" t="s">
        <v>9</v>
      </c>
      <c r="D234">
        <v>3.49</v>
      </c>
      <c r="E234">
        <v>630.37</v>
      </c>
      <c r="F234" t="s">
        <v>18</v>
      </c>
      <c r="G234" t="s">
        <v>44</v>
      </c>
      <c r="H234" t="s">
        <v>23</v>
      </c>
      <c r="I234" t="s">
        <v>24</v>
      </c>
    </row>
    <row r="235" spans="1:9" x14ac:dyDescent="0.25">
      <c r="A235">
        <v>10693</v>
      </c>
      <c r="B235" t="s">
        <v>69</v>
      </c>
      <c r="C235" t="s">
        <v>14</v>
      </c>
      <c r="D235">
        <v>2.95</v>
      </c>
      <c r="E235">
        <v>677.97</v>
      </c>
      <c r="F235" t="s">
        <v>18</v>
      </c>
      <c r="G235" t="s">
        <v>44</v>
      </c>
      <c r="H235" t="s">
        <v>23</v>
      </c>
      <c r="I235" t="s">
        <v>24</v>
      </c>
    </row>
    <row r="236" spans="1:9" x14ac:dyDescent="0.25">
      <c r="A236">
        <v>10694</v>
      </c>
      <c r="B236" t="s">
        <v>69</v>
      </c>
      <c r="C236" t="s">
        <v>17</v>
      </c>
      <c r="D236">
        <v>4.99</v>
      </c>
      <c r="E236">
        <v>200.4</v>
      </c>
      <c r="F236" t="s">
        <v>18</v>
      </c>
      <c r="G236" t="s">
        <v>44</v>
      </c>
      <c r="H236" t="s">
        <v>23</v>
      </c>
      <c r="I236" t="s">
        <v>24</v>
      </c>
    </row>
    <row r="237" spans="1:9" x14ac:dyDescent="0.25">
      <c r="A237">
        <v>10695</v>
      </c>
      <c r="B237" t="s">
        <v>70</v>
      </c>
      <c r="C237" t="s">
        <v>21</v>
      </c>
      <c r="D237">
        <v>12.99</v>
      </c>
      <c r="E237">
        <v>692.84</v>
      </c>
      <c r="F237" t="s">
        <v>18</v>
      </c>
      <c r="G237" t="s">
        <v>44</v>
      </c>
      <c r="H237" t="s">
        <v>23</v>
      </c>
      <c r="I237" t="s">
        <v>24</v>
      </c>
    </row>
    <row r="238" spans="1:9" x14ac:dyDescent="0.25">
      <c r="A238">
        <v>10696</v>
      </c>
      <c r="B238" t="s">
        <v>70</v>
      </c>
      <c r="C238" t="s">
        <v>25</v>
      </c>
      <c r="D238">
        <v>9.9499999999999993</v>
      </c>
      <c r="E238">
        <v>281.41000000000003</v>
      </c>
      <c r="F238" t="s">
        <v>18</v>
      </c>
      <c r="G238" t="s">
        <v>44</v>
      </c>
      <c r="H238" t="s">
        <v>23</v>
      </c>
      <c r="I238" t="s">
        <v>24</v>
      </c>
    </row>
    <row r="239" spans="1:9" x14ac:dyDescent="0.25">
      <c r="A239">
        <v>10697</v>
      </c>
      <c r="B239" t="s">
        <v>70</v>
      </c>
      <c r="C239" t="s">
        <v>9</v>
      </c>
      <c r="D239">
        <v>3.49</v>
      </c>
      <c r="E239">
        <v>630.37</v>
      </c>
      <c r="F239" t="s">
        <v>18</v>
      </c>
      <c r="G239" t="s">
        <v>44</v>
      </c>
      <c r="H239" t="s">
        <v>23</v>
      </c>
      <c r="I239" t="s">
        <v>24</v>
      </c>
    </row>
    <row r="240" spans="1:9" x14ac:dyDescent="0.25">
      <c r="A240">
        <v>10698</v>
      </c>
      <c r="B240" t="s">
        <v>70</v>
      </c>
      <c r="C240" t="s">
        <v>14</v>
      </c>
      <c r="D240">
        <v>2.95</v>
      </c>
      <c r="E240">
        <v>677.97</v>
      </c>
      <c r="F240" t="s">
        <v>18</v>
      </c>
      <c r="G240" t="s">
        <v>44</v>
      </c>
      <c r="H240" t="s">
        <v>23</v>
      </c>
      <c r="I240" t="s">
        <v>24</v>
      </c>
    </row>
    <row r="241" spans="1:9" x14ac:dyDescent="0.25">
      <c r="A241">
        <v>10699</v>
      </c>
      <c r="B241" t="s">
        <v>70</v>
      </c>
      <c r="C241" t="s">
        <v>17</v>
      </c>
      <c r="D241">
        <v>4.99</v>
      </c>
      <c r="E241">
        <v>200.4</v>
      </c>
      <c r="F241" t="s">
        <v>18</v>
      </c>
      <c r="G241" t="s">
        <v>44</v>
      </c>
      <c r="H241" t="s">
        <v>23</v>
      </c>
      <c r="I241" t="s">
        <v>24</v>
      </c>
    </row>
    <row r="242" spans="1:9" x14ac:dyDescent="0.25">
      <c r="A242">
        <v>10700</v>
      </c>
      <c r="B242" t="s">
        <v>71</v>
      </c>
      <c r="C242" t="s">
        <v>21</v>
      </c>
      <c r="D242">
        <v>12.99</v>
      </c>
      <c r="E242">
        <v>692.84</v>
      </c>
      <c r="F242" t="s">
        <v>18</v>
      </c>
      <c r="G242" t="s">
        <v>44</v>
      </c>
      <c r="H242" t="s">
        <v>23</v>
      </c>
      <c r="I242" t="s">
        <v>24</v>
      </c>
    </row>
    <row r="243" spans="1:9" x14ac:dyDescent="0.25">
      <c r="A243">
        <v>10701</v>
      </c>
      <c r="B243" t="s">
        <v>71</v>
      </c>
      <c r="C243" t="s">
        <v>25</v>
      </c>
      <c r="D243">
        <v>9.9499999999999993</v>
      </c>
      <c r="E243">
        <v>281.41000000000003</v>
      </c>
      <c r="F243" t="s">
        <v>18</v>
      </c>
      <c r="G243" t="s">
        <v>44</v>
      </c>
      <c r="H243" t="s">
        <v>23</v>
      </c>
      <c r="I243" t="s">
        <v>24</v>
      </c>
    </row>
    <row r="244" spans="1:9" x14ac:dyDescent="0.25">
      <c r="A244">
        <v>10702</v>
      </c>
      <c r="B244" t="s">
        <v>71</v>
      </c>
      <c r="C244" t="s">
        <v>9</v>
      </c>
      <c r="D244">
        <v>3.49</v>
      </c>
      <c r="E244">
        <v>630.37</v>
      </c>
      <c r="F244" t="s">
        <v>18</v>
      </c>
      <c r="G244" t="s">
        <v>44</v>
      </c>
      <c r="H244" t="s">
        <v>23</v>
      </c>
      <c r="I244" t="s">
        <v>24</v>
      </c>
    </row>
    <row r="245" spans="1:9" x14ac:dyDescent="0.25">
      <c r="A245">
        <v>10703</v>
      </c>
      <c r="B245" t="s">
        <v>71</v>
      </c>
      <c r="C245" t="s">
        <v>14</v>
      </c>
      <c r="D245">
        <v>2.95</v>
      </c>
      <c r="E245">
        <v>677.97</v>
      </c>
      <c r="F245" t="s">
        <v>18</v>
      </c>
      <c r="G245" t="s">
        <v>11</v>
      </c>
      <c r="H245" t="s">
        <v>23</v>
      </c>
      <c r="I245" t="s">
        <v>24</v>
      </c>
    </row>
    <row r="246" spans="1:9" x14ac:dyDescent="0.25">
      <c r="A246">
        <v>10704</v>
      </c>
      <c r="B246" t="s">
        <v>71</v>
      </c>
      <c r="C246" t="s">
        <v>17</v>
      </c>
      <c r="D246">
        <v>4.99</v>
      </c>
      <c r="E246">
        <v>200.4</v>
      </c>
      <c r="F246" t="s">
        <v>40</v>
      </c>
      <c r="G246" t="s">
        <v>11</v>
      </c>
      <c r="H246" t="s">
        <v>23</v>
      </c>
      <c r="I246" t="s">
        <v>24</v>
      </c>
    </row>
    <row r="247" spans="1:9" x14ac:dyDescent="0.25">
      <c r="A247">
        <v>10705</v>
      </c>
      <c r="B247" t="s">
        <v>72</v>
      </c>
      <c r="C247" t="s">
        <v>21</v>
      </c>
      <c r="D247">
        <v>12.99</v>
      </c>
      <c r="E247">
        <v>723.63</v>
      </c>
      <c r="F247" t="s">
        <v>40</v>
      </c>
      <c r="G247" t="s">
        <v>11</v>
      </c>
      <c r="H247" t="s">
        <v>23</v>
      </c>
      <c r="I247" t="s">
        <v>24</v>
      </c>
    </row>
    <row r="248" spans="1:9" x14ac:dyDescent="0.25">
      <c r="A248">
        <v>10706</v>
      </c>
      <c r="B248" t="s">
        <v>72</v>
      </c>
      <c r="C248" t="s">
        <v>25</v>
      </c>
      <c r="D248">
        <v>9.9499999999999993</v>
      </c>
      <c r="E248">
        <v>301.51</v>
      </c>
      <c r="F248" t="s">
        <v>40</v>
      </c>
      <c r="G248" t="s">
        <v>11</v>
      </c>
      <c r="H248" t="s">
        <v>23</v>
      </c>
      <c r="I248" t="s">
        <v>24</v>
      </c>
    </row>
    <row r="249" spans="1:9" x14ac:dyDescent="0.25">
      <c r="A249">
        <v>10707</v>
      </c>
      <c r="B249" t="s">
        <v>72</v>
      </c>
      <c r="C249" t="s">
        <v>9</v>
      </c>
      <c r="D249">
        <v>3.49</v>
      </c>
      <c r="E249">
        <v>630.37</v>
      </c>
      <c r="F249" t="s">
        <v>40</v>
      </c>
      <c r="G249" t="s">
        <v>11</v>
      </c>
      <c r="H249" t="s">
        <v>23</v>
      </c>
      <c r="I249" t="s">
        <v>24</v>
      </c>
    </row>
    <row r="250" spans="1:9" x14ac:dyDescent="0.25">
      <c r="A250">
        <v>10708</v>
      </c>
      <c r="B250" t="s">
        <v>72</v>
      </c>
      <c r="C250" t="s">
        <v>14</v>
      </c>
      <c r="D250">
        <v>2.95</v>
      </c>
      <c r="E250">
        <v>677.97</v>
      </c>
      <c r="F250" t="s">
        <v>40</v>
      </c>
      <c r="G250" t="s">
        <v>11</v>
      </c>
      <c r="H250" t="s">
        <v>23</v>
      </c>
      <c r="I250" t="s">
        <v>24</v>
      </c>
    </row>
    <row r="251" spans="1:9" x14ac:dyDescent="0.25">
      <c r="A251">
        <v>10709</v>
      </c>
      <c r="B251" t="s">
        <v>72</v>
      </c>
      <c r="C251" t="s">
        <v>17</v>
      </c>
      <c r="D251">
        <v>4.99</v>
      </c>
      <c r="E251">
        <v>200.4</v>
      </c>
      <c r="F251" t="s">
        <v>40</v>
      </c>
      <c r="G251" t="s">
        <v>11</v>
      </c>
      <c r="H251" t="s">
        <v>23</v>
      </c>
      <c r="I251" t="s">
        <v>24</v>
      </c>
    </row>
    <row r="252" spans="1:9" x14ac:dyDescent="0.25">
      <c r="A252">
        <v>10710</v>
      </c>
      <c r="B252" t="s">
        <v>73</v>
      </c>
      <c r="C252" t="s">
        <v>21</v>
      </c>
      <c r="D252">
        <v>12.99</v>
      </c>
      <c r="E252">
        <v>754.43</v>
      </c>
      <c r="F252" t="s">
        <v>40</v>
      </c>
      <c r="G252" t="s">
        <v>11</v>
      </c>
      <c r="H252" t="s">
        <v>23</v>
      </c>
      <c r="I252" t="s">
        <v>24</v>
      </c>
    </row>
    <row r="253" spans="1:9" x14ac:dyDescent="0.25">
      <c r="A253">
        <v>10711</v>
      </c>
      <c r="B253" t="s">
        <v>73</v>
      </c>
      <c r="C253" t="s">
        <v>25</v>
      </c>
      <c r="D253">
        <v>9.9499999999999993</v>
      </c>
      <c r="E253">
        <v>281.41000000000003</v>
      </c>
      <c r="F253" t="s">
        <v>40</v>
      </c>
      <c r="G253" t="s">
        <v>11</v>
      </c>
      <c r="H253" t="s">
        <v>23</v>
      </c>
      <c r="I253" t="s">
        <v>24</v>
      </c>
    </row>
    <row r="254" spans="1:9" x14ac:dyDescent="0.25">
      <c r="A254">
        <v>10712</v>
      </c>
      <c r="B254" t="s">
        <v>73</v>
      </c>
      <c r="C254" t="s">
        <v>9</v>
      </c>
      <c r="D254">
        <v>3.49</v>
      </c>
      <c r="E254">
        <v>630.37</v>
      </c>
      <c r="F254" t="s">
        <v>40</v>
      </c>
      <c r="G254" t="s">
        <v>11</v>
      </c>
      <c r="H254" t="s">
        <v>23</v>
      </c>
      <c r="I254" t="s">
        <v>24</v>
      </c>
    </row>
    <row r="255" spans="1:9" x14ac:dyDescent="0.25">
      <c r="A255">
        <v>10713</v>
      </c>
      <c r="B255" t="s">
        <v>73</v>
      </c>
      <c r="C255" t="s">
        <v>14</v>
      </c>
      <c r="D255">
        <v>2.95</v>
      </c>
      <c r="E255">
        <v>677.97</v>
      </c>
      <c r="F255" t="s">
        <v>40</v>
      </c>
      <c r="G255" t="s">
        <v>11</v>
      </c>
      <c r="H255" t="s">
        <v>23</v>
      </c>
      <c r="I25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A98F-2E16-4CC2-A45D-F2DC02670D7A}">
  <dimension ref="A3:B24"/>
  <sheetViews>
    <sheetView workbookViewId="0">
      <selection activeCell="K23" sqref="K23"/>
    </sheetView>
  </sheetViews>
  <sheetFormatPr defaultRowHeight="15" x14ac:dyDescent="0.25"/>
  <cols>
    <col min="1" max="1" width="13.140625" bestFit="1" customWidth="1"/>
    <col min="2" max="3" width="17" bestFit="1" customWidth="1"/>
  </cols>
  <sheetData>
    <row r="3" spans="1:2" x14ac:dyDescent="0.25">
      <c r="A3" s="19" t="s">
        <v>78</v>
      </c>
      <c r="B3" t="s">
        <v>107</v>
      </c>
    </row>
    <row r="4" spans="1:2" x14ac:dyDescent="0.25">
      <c r="A4" s="20" t="s">
        <v>105</v>
      </c>
      <c r="B4" s="4">
        <v>332114.65840000007</v>
      </c>
    </row>
    <row r="5" spans="1:2" x14ac:dyDescent="0.25">
      <c r="A5" s="28" t="s">
        <v>14</v>
      </c>
      <c r="B5" s="4">
        <v>45600.096999999994</v>
      </c>
    </row>
    <row r="6" spans="1:2" x14ac:dyDescent="0.25">
      <c r="A6" s="28" t="s">
        <v>21</v>
      </c>
      <c r="B6" s="4">
        <v>150399.77880000006</v>
      </c>
    </row>
    <row r="7" spans="1:2" x14ac:dyDescent="0.25">
      <c r="A7" s="28" t="s">
        <v>25</v>
      </c>
      <c r="B7" s="4">
        <v>49840.429500000013</v>
      </c>
    </row>
    <row r="8" spans="1:2" x14ac:dyDescent="0.25">
      <c r="A8" s="28" t="s">
        <v>9</v>
      </c>
      <c r="B8" s="4">
        <v>64274.441100000011</v>
      </c>
    </row>
    <row r="9" spans="1:2" x14ac:dyDescent="0.25">
      <c r="A9" s="28" t="s">
        <v>17</v>
      </c>
      <c r="B9" s="4">
        <v>21999.911999999989</v>
      </c>
    </row>
    <row r="10" spans="1:2" x14ac:dyDescent="0.25">
      <c r="A10" s="20" t="s">
        <v>106</v>
      </c>
      <c r="B10" s="4">
        <v>437401.20080000011</v>
      </c>
    </row>
    <row r="11" spans="1:2" x14ac:dyDescent="0.25">
      <c r="A11" s="28" t="s">
        <v>14</v>
      </c>
      <c r="B11" s="4">
        <v>57600.165999999997</v>
      </c>
    </row>
    <row r="12" spans="1:2" x14ac:dyDescent="0.25">
      <c r="A12" s="28" t="s">
        <v>21</v>
      </c>
      <c r="B12" s="4">
        <v>226600.02810000008</v>
      </c>
    </row>
    <row r="13" spans="1:2" x14ac:dyDescent="0.25">
      <c r="A13" s="28" t="s">
        <v>25</v>
      </c>
      <c r="B13" s="4">
        <v>64801.265500000009</v>
      </c>
    </row>
    <row r="14" spans="1:2" x14ac:dyDescent="0.25">
      <c r="A14" s="28" t="s">
        <v>9</v>
      </c>
      <c r="B14" s="4">
        <v>61399.849200000026</v>
      </c>
    </row>
    <row r="15" spans="1:2" x14ac:dyDescent="0.25">
      <c r="A15" s="28" t="s">
        <v>17</v>
      </c>
      <c r="B15" s="4">
        <v>26999.891999999985</v>
      </c>
    </row>
    <row r="16" spans="1:2" x14ac:dyDescent="0.25">
      <c r="A16" s="20" t="s">
        <v>79</v>
      </c>
      <c r="B16" s="4">
        <v>769515.85920000018</v>
      </c>
    </row>
    <row r="18" spans="1:2" x14ac:dyDescent="0.25">
      <c r="A18" s="19" t="s">
        <v>78</v>
      </c>
      <c r="B18" t="s">
        <v>107</v>
      </c>
    </row>
    <row r="19" spans="1:2" x14ac:dyDescent="0.25">
      <c r="A19" s="20" t="s">
        <v>24</v>
      </c>
      <c r="B19" s="4">
        <v>100600.13129999998</v>
      </c>
    </row>
    <row r="20" spans="1:2" x14ac:dyDescent="0.25">
      <c r="A20" s="20" t="s">
        <v>20</v>
      </c>
      <c r="B20" s="4">
        <v>241714.11570000008</v>
      </c>
    </row>
    <row r="21" spans="1:2" x14ac:dyDescent="0.25">
      <c r="A21" s="20" t="s">
        <v>13</v>
      </c>
      <c r="B21" s="4">
        <v>211201.04059999986</v>
      </c>
    </row>
    <row r="22" spans="1:2" x14ac:dyDescent="0.25">
      <c r="A22" s="20" t="s">
        <v>16</v>
      </c>
      <c r="B22" s="4">
        <v>136200.26649999997</v>
      </c>
    </row>
    <row r="23" spans="1:2" x14ac:dyDescent="0.25">
      <c r="A23" s="20" t="s">
        <v>27</v>
      </c>
      <c r="B23" s="4">
        <v>79800.305099999983</v>
      </c>
    </row>
    <row r="24" spans="1:2" x14ac:dyDescent="0.25">
      <c r="A24" s="20" t="s">
        <v>79</v>
      </c>
      <c r="B24" s="4">
        <v>769515.85919999983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55"/>
  <sheetViews>
    <sheetView topLeftCell="C1" zoomScale="99" workbookViewId="0">
      <selection activeCell="L13" sqref="L13"/>
    </sheetView>
  </sheetViews>
  <sheetFormatPr defaultRowHeight="15" x14ac:dyDescent="0.25"/>
  <cols>
    <col min="1" max="1" width="10.28515625" bestFit="1" customWidth="1"/>
    <col min="2" max="2" width="10.42578125" style="34" bestFit="1" customWidth="1"/>
    <col min="3" max="3" width="17.5703125" bestFit="1" customWidth="1"/>
    <col min="4" max="4" width="7.140625" style="4" bestFit="1" customWidth="1"/>
    <col min="5" max="5" width="10.42578125" bestFit="1" customWidth="1"/>
    <col min="6" max="6" width="15.28515625" bestFit="1" customWidth="1"/>
    <col min="7" max="7" width="17.85546875" bestFit="1" customWidth="1"/>
    <col min="8" max="8" width="13.7109375" bestFit="1" customWidth="1"/>
    <col min="9" max="9" width="7.140625" bestFit="1" customWidth="1"/>
    <col min="10" max="10" width="11.5703125" bestFit="1" customWidth="1"/>
    <col min="11" max="11" width="18.42578125" bestFit="1" customWidth="1"/>
  </cols>
  <sheetData>
    <row r="1" spans="1:12" x14ac:dyDescent="0.25">
      <c r="A1" s="5" t="s">
        <v>0</v>
      </c>
      <c r="B1" s="30" t="s">
        <v>1</v>
      </c>
      <c r="C1" s="6" t="s">
        <v>2</v>
      </c>
      <c r="D1" s="7" t="s">
        <v>3</v>
      </c>
      <c r="E1" s="6" t="s">
        <v>4</v>
      </c>
      <c r="F1" s="6" t="s">
        <v>5</v>
      </c>
      <c r="G1" s="6" t="s">
        <v>6</v>
      </c>
      <c r="H1" s="6" t="s">
        <v>7</v>
      </c>
      <c r="I1" s="6" t="s">
        <v>8</v>
      </c>
      <c r="J1" s="6" t="s">
        <v>101</v>
      </c>
      <c r="K1" s="8" t="s">
        <v>74</v>
      </c>
      <c r="L1" s="29" t="s">
        <v>104</v>
      </c>
    </row>
    <row r="2" spans="1:12" x14ac:dyDescent="0.25">
      <c r="A2" s="9">
        <v>10452</v>
      </c>
      <c r="B2" s="31">
        <v>44872</v>
      </c>
      <c r="C2" s="10" t="s">
        <v>9</v>
      </c>
      <c r="D2" s="11">
        <v>3.49</v>
      </c>
      <c r="E2" s="10">
        <v>573.07000000000005</v>
      </c>
      <c r="F2" s="10" t="s">
        <v>10</v>
      </c>
      <c r="G2" s="10" t="s">
        <v>11</v>
      </c>
      <c r="H2" s="10" t="s">
        <v>51</v>
      </c>
      <c r="I2" s="10" t="s">
        <v>13</v>
      </c>
      <c r="J2" s="11">
        <f>'Cleaned Data'!$D2*'Cleaned Data'!$E2</f>
        <v>2000.0143000000003</v>
      </c>
      <c r="K2" s="12" t="str">
        <f>IF('Cleaned Data'!$E2&gt;500,"High Quantity","Low Quantity")</f>
        <v>High Quantity</v>
      </c>
      <c r="L2" t="str">
        <f>TEXT(B2,"mmmm")</f>
        <v>November</v>
      </c>
    </row>
    <row r="3" spans="1:12" x14ac:dyDescent="0.25">
      <c r="A3" s="13">
        <v>10453</v>
      </c>
      <c r="B3" s="32">
        <v>44872</v>
      </c>
      <c r="C3" s="14" t="s">
        <v>14</v>
      </c>
      <c r="D3" s="15">
        <v>2.95</v>
      </c>
      <c r="E3" s="14">
        <v>745.76</v>
      </c>
      <c r="F3" s="14" t="s">
        <v>10</v>
      </c>
      <c r="G3" s="14" t="s">
        <v>11</v>
      </c>
      <c r="H3" s="14" t="s">
        <v>31</v>
      </c>
      <c r="I3" s="14" t="s">
        <v>16</v>
      </c>
      <c r="J3" s="15">
        <f>'Cleaned Data'!$D3*'Cleaned Data'!$E3</f>
        <v>2199.9920000000002</v>
      </c>
      <c r="K3" s="16" t="str">
        <f>IF('Cleaned Data'!$E3&gt;500,"High Quantity","Low Quantity")</f>
        <v>High Quantity</v>
      </c>
      <c r="L3" t="str">
        <f t="shared" ref="L3:L66" si="0">TEXT(B3,"mmmm")</f>
        <v>November</v>
      </c>
    </row>
    <row r="4" spans="1:12" x14ac:dyDescent="0.25">
      <c r="A4" s="9">
        <v>10454</v>
      </c>
      <c r="B4" s="31">
        <v>44872</v>
      </c>
      <c r="C4" s="10" t="s">
        <v>17</v>
      </c>
      <c r="D4" s="11">
        <v>4.99</v>
      </c>
      <c r="E4" s="10">
        <v>200.4</v>
      </c>
      <c r="F4" s="10" t="s">
        <v>18</v>
      </c>
      <c r="G4" s="10" t="s">
        <v>11</v>
      </c>
      <c r="H4" s="10" t="s">
        <v>36</v>
      </c>
      <c r="I4" s="10" t="s">
        <v>20</v>
      </c>
      <c r="J4" s="11">
        <f>'Cleaned Data'!$D4*'Cleaned Data'!$E4</f>
        <v>999.99600000000009</v>
      </c>
      <c r="K4" s="12" t="str">
        <f>IF('Cleaned Data'!$E4&gt;500,"High Quantity","Low Quantity")</f>
        <v>Low Quantity</v>
      </c>
      <c r="L4" t="str">
        <f t="shared" si="0"/>
        <v>November</v>
      </c>
    </row>
    <row r="5" spans="1:12" x14ac:dyDescent="0.25">
      <c r="A5" s="13">
        <v>10455</v>
      </c>
      <c r="B5" s="32">
        <v>44873</v>
      </c>
      <c r="C5" s="14" t="s">
        <v>21</v>
      </c>
      <c r="D5" s="15">
        <v>12.99</v>
      </c>
      <c r="E5" s="14">
        <v>569.66999999999996</v>
      </c>
      <c r="F5" s="14" t="s">
        <v>18</v>
      </c>
      <c r="G5" s="14" t="s">
        <v>22</v>
      </c>
      <c r="H5" s="14" t="s">
        <v>23</v>
      </c>
      <c r="I5" s="14" t="s">
        <v>24</v>
      </c>
      <c r="J5" s="15">
        <f>'Cleaned Data'!$D5*'Cleaned Data'!$E5</f>
        <v>7400.0132999999996</v>
      </c>
      <c r="K5" s="16" t="str">
        <f>IF('Cleaned Data'!$E5&gt;500,"High Quantity","Low Quantity")</f>
        <v>High Quantity</v>
      </c>
      <c r="L5" t="str">
        <f t="shared" si="0"/>
        <v>November</v>
      </c>
    </row>
    <row r="6" spans="1:12" x14ac:dyDescent="0.25">
      <c r="A6" s="9">
        <v>10456</v>
      </c>
      <c r="B6" s="31">
        <v>44873</v>
      </c>
      <c r="C6" s="10" t="s">
        <v>25</v>
      </c>
      <c r="D6" s="11">
        <v>9.9499999999999993</v>
      </c>
      <c r="E6" s="10">
        <v>201.01</v>
      </c>
      <c r="F6" s="10" t="s">
        <v>18</v>
      </c>
      <c r="G6" s="10" t="s">
        <v>22</v>
      </c>
      <c r="H6" s="10" t="s">
        <v>23</v>
      </c>
      <c r="I6" s="10" t="s">
        <v>24</v>
      </c>
      <c r="J6" s="11">
        <f>'Cleaned Data'!$D6*'Cleaned Data'!$E6</f>
        <v>2000.0494999999999</v>
      </c>
      <c r="K6" s="12" t="str">
        <f>IF('Cleaned Data'!$E6&gt;500,"High Quantity","Low Quantity")</f>
        <v>Low Quantity</v>
      </c>
      <c r="L6" t="str">
        <f t="shared" si="0"/>
        <v>November</v>
      </c>
    </row>
    <row r="7" spans="1:12" x14ac:dyDescent="0.25">
      <c r="A7" s="13">
        <v>10457</v>
      </c>
      <c r="B7" s="32">
        <v>44873</v>
      </c>
      <c r="C7" s="14" t="s">
        <v>9</v>
      </c>
      <c r="D7" s="15">
        <v>3.49</v>
      </c>
      <c r="E7" s="14">
        <v>573.07000000000005</v>
      </c>
      <c r="F7" s="14" t="s">
        <v>18</v>
      </c>
      <c r="G7" s="14" t="s">
        <v>22</v>
      </c>
      <c r="H7" s="14" t="s">
        <v>28</v>
      </c>
      <c r="I7" s="14" t="s">
        <v>27</v>
      </c>
      <c r="J7" s="15">
        <f>'Cleaned Data'!$D7*'Cleaned Data'!$E7</f>
        <v>2000.0143000000003</v>
      </c>
      <c r="K7" s="16" t="str">
        <f>IF('Cleaned Data'!$E7&gt;500,"High Quantity","Low Quantity")</f>
        <v>High Quantity</v>
      </c>
      <c r="L7" t="str">
        <f t="shared" si="0"/>
        <v>November</v>
      </c>
    </row>
    <row r="8" spans="1:12" x14ac:dyDescent="0.25">
      <c r="A8" s="9">
        <v>10459</v>
      </c>
      <c r="B8" s="31">
        <v>44873</v>
      </c>
      <c r="C8" s="10" t="s">
        <v>17</v>
      </c>
      <c r="D8" s="11">
        <v>4.99</v>
      </c>
      <c r="E8" s="10">
        <v>200.4</v>
      </c>
      <c r="F8" s="10" t="s">
        <v>18</v>
      </c>
      <c r="G8" s="10" t="s">
        <v>22</v>
      </c>
      <c r="H8" s="10" t="s">
        <v>23</v>
      </c>
      <c r="I8" s="10" t="s">
        <v>24</v>
      </c>
      <c r="J8" s="11">
        <f>'Cleaned Data'!$D8*'Cleaned Data'!$E8</f>
        <v>999.99600000000009</v>
      </c>
      <c r="K8" s="12" t="str">
        <f>IF('Cleaned Data'!$E8&gt;500,"High Quantity","Low Quantity")</f>
        <v>Low Quantity</v>
      </c>
      <c r="L8" t="str">
        <f t="shared" si="0"/>
        <v>November</v>
      </c>
    </row>
    <row r="9" spans="1:12" x14ac:dyDescent="0.25">
      <c r="A9" s="13">
        <v>10460</v>
      </c>
      <c r="B9" s="32">
        <v>44874</v>
      </c>
      <c r="C9" s="14" t="s">
        <v>21</v>
      </c>
      <c r="D9" s="15">
        <v>12.99</v>
      </c>
      <c r="E9" s="14">
        <v>554.27</v>
      </c>
      <c r="F9" s="14" t="s">
        <v>18</v>
      </c>
      <c r="G9" s="14" t="s">
        <v>22</v>
      </c>
      <c r="H9" s="14" t="s">
        <v>28</v>
      </c>
      <c r="I9" s="14" t="s">
        <v>27</v>
      </c>
      <c r="J9" s="15">
        <f>'Cleaned Data'!$D9*'Cleaned Data'!$E9</f>
        <v>7199.9673000000003</v>
      </c>
      <c r="K9" s="16" t="str">
        <f>IF('Cleaned Data'!$E9&gt;500,"High Quantity","Low Quantity")</f>
        <v>High Quantity</v>
      </c>
      <c r="L9" t="str">
        <f t="shared" si="0"/>
        <v>November</v>
      </c>
    </row>
    <row r="10" spans="1:12" x14ac:dyDescent="0.25">
      <c r="A10" s="9">
        <v>10461</v>
      </c>
      <c r="B10" s="31">
        <v>44874</v>
      </c>
      <c r="C10" s="10" t="s">
        <v>25</v>
      </c>
      <c r="D10" s="11">
        <v>9.9499999999999993</v>
      </c>
      <c r="E10" s="10">
        <v>201.01</v>
      </c>
      <c r="F10" s="10" t="s">
        <v>18</v>
      </c>
      <c r="G10" s="10" t="s">
        <v>22</v>
      </c>
      <c r="H10" s="10" t="s">
        <v>28</v>
      </c>
      <c r="I10" s="10" t="s">
        <v>27</v>
      </c>
      <c r="J10" s="11">
        <f>'Cleaned Data'!$D10*'Cleaned Data'!$E10</f>
        <v>2000.0494999999999</v>
      </c>
      <c r="K10" s="12" t="str">
        <f>IF('Cleaned Data'!$E10&gt;500,"High Quantity","Low Quantity")</f>
        <v>Low Quantity</v>
      </c>
      <c r="L10" t="str">
        <f t="shared" si="0"/>
        <v>November</v>
      </c>
    </row>
    <row r="11" spans="1:12" x14ac:dyDescent="0.25">
      <c r="A11" s="13">
        <v>10462</v>
      </c>
      <c r="B11" s="32">
        <v>44874</v>
      </c>
      <c r="C11" s="14" t="s">
        <v>9</v>
      </c>
      <c r="D11" s="15">
        <v>3.49</v>
      </c>
      <c r="E11" s="14">
        <v>573.07000000000005</v>
      </c>
      <c r="F11" s="14" t="s">
        <v>18</v>
      </c>
      <c r="G11" s="14" t="s">
        <v>22</v>
      </c>
      <c r="H11" s="14" t="s">
        <v>28</v>
      </c>
      <c r="I11" s="14" t="s">
        <v>27</v>
      </c>
      <c r="J11" s="15">
        <f>'Cleaned Data'!$D11*'Cleaned Data'!$E11</f>
        <v>2000.0143000000003</v>
      </c>
      <c r="K11" s="16" t="str">
        <f>IF('Cleaned Data'!$E11&gt;500,"High Quantity","Low Quantity")</f>
        <v>High Quantity</v>
      </c>
      <c r="L11" t="str">
        <f t="shared" si="0"/>
        <v>November</v>
      </c>
    </row>
    <row r="12" spans="1:12" x14ac:dyDescent="0.25">
      <c r="A12" s="9">
        <v>10463</v>
      </c>
      <c r="B12" s="31">
        <v>44874</v>
      </c>
      <c r="C12" s="10" t="s">
        <v>14</v>
      </c>
      <c r="D12" s="11">
        <v>2.95</v>
      </c>
      <c r="E12" s="10">
        <v>677.97</v>
      </c>
      <c r="F12" s="10" t="s">
        <v>18</v>
      </c>
      <c r="G12" s="10" t="s">
        <v>22</v>
      </c>
      <c r="H12" s="10" t="s">
        <v>28</v>
      </c>
      <c r="I12" s="10" t="s">
        <v>27</v>
      </c>
      <c r="J12" s="11">
        <f>'Cleaned Data'!$D12*'Cleaned Data'!$E12</f>
        <v>2000.0115000000003</v>
      </c>
      <c r="K12" s="12" t="str">
        <f>IF('Cleaned Data'!$E12&gt;500,"High Quantity","Low Quantity")</f>
        <v>High Quantity</v>
      </c>
      <c r="L12" t="str">
        <f t="shared" si="0"/>
        <v>November</v>
      </c>
    </row>
    <row r="13" spans="1:12" x14ac:dyDescent="0.25">
      <c r="A13" s="13">
        <v>10464</v>
      </c>
      <c r="B13" s="32">
        <v>44874</v>
      </c>
      <c r="C13" s="14" t="s">
        <v>17</v>
      </c>
      <c r="D13" s="15">
        <v>4.99</v>
      </c>
      <c r="E13" s="14">
        <v>200.4</v>
      </c>
      <c r="F13" s="14" t="s">
        <v>18</v>
      </c>
      <c r="G13" s="14" t="s">
        <v>22</v>
      </c>
      <c r="H13" s="14" t="s">
        <v>28</v>
      </c>
      <c r="I13" s="14" t="s">
        <v>27</v>
      </c>
      <c r="J13" s="15">
        <f>'Cleaned Data'!$D13*'Cleaned Data'!$E13</f>
        <v>999.99600000000009</v>
      </c>
      <c r="K13" s="16" t="str">
        <f>IF('Cleaned Data'!$E13&gt;500,"High Quantity","Low Quantity")</f>
        <v>Low Quantity</v>
      </c>
      <c r="L13" t="str">
        <f t="shared" si="0"/>
        <v>November</v>
      </c>
    </row>
    <row r="14" spans="1:12" x14ac:dyDescent="0.25">
      <c r="A14" s="9">
        <v>10465</v>
      </c>
      <c r="B14" s="31">
        <v>44875</v>
      </c>
      <c r="C14" s="10" t="s">
        <v>21</v>
      </c>
      <c r="D14" s="11">
        <v>12.99</v>
      </c>
      <c r="E14" s="10">
        <v>554.27</v>
      </c>
      <c r="F14" s="10" t="s">
        <v>18</v>
      </c>
      <c r="G14" s="10" t="s">
        <v>22</v>
      </c>
      <c r="H14" s="10" t="s">
        <v>31</v>
      </c>
      <c r="I14" s="10" t="s">
        <v>16</v>
      </c>
      <c r="J14" s="11">
        <f>'Cleaned Data'!$D14*'Cleaned Data'!$E14</f>
        <v>7199.9673000000003</v>
      </c>
      <c r="K14" s="12" t="str">
        <f>IF('Cleaned Data'!$E14&gt;500,"High Quantity","Low Quantity")</f>
        <v>High Quantity</v>
      </c>
      <c r="L14" t="str">
        <f t="shared" si="0"/>
        <v>November</v>
      </c>
    </row>
    <row r="15" spans="1:12" x14ac:dyDescent="0.25">
      <c r="A15" s="13">
        <v>10466</v>
      </c>
      <c r="B15" s="32">
        <v>44875</v>
      </c>
      <c r="C15" s="14" t="s">
        <v>25</v>
      </c>
      <c r="D15" s="15">
        <v>9.9499999999999993</v>
      </c>
      <c r="E15" s="14">
        <v>201.01</v>
      </c>
      <c r="F15" s="14" t="s">
        <v>18</v>
      </c>
      <c r="G15" s="14" t="s">
        <v>22</v>
      </c>
      <c r="H15" s="14" t="s">
        <v>31</v>
      </c>
      <c r="I15" s="14" t="s">
        <v>16</v>
      </c>
      <c r="J15" s="15">
        <f>'Cleaned Data'!$D15*'Cleaned Data'!$E15</f>
        <v>2000.0494999999999</v>
      </c>
      <c r="K15" s="16" t="str">
        <f>IF('Cleaned Data'!$E15&gt;500,"High Quantity","Low Quantity")</f>
        <v>Low Quantity</v>
      </c>
      <c r="L15" t="str">
        <f t="shared" si="0"/>
        <v>November</v>
      </c>
    </row>
    <row r="16" spans="1:12" x14ac:dyDescent="0.25">
      <c r="A16" s="9">
        <v>10467</v>
      </c>
      <c r="B16" s="31">
        <v>44875</v>
      </c>
      <c r="C16" s="10" t="s">
        <v>9</v>
      </c>
      <c r="D16" s="11">
        <v>3.49</v>
      </c>
      <c r="E16" s="10">
        <v>573.07000000000005</v>
      </c>
      <c r="F16" s="10" t="s">
        <v>18</v>
      </c>
      <c r="G16" s="10" t="s">
        <v>22</v>
      </c>
      <c r="H16" s="10" t="s">
        <v>31</v>
      </c>
      <c r="I16" s="10" t="s">
        <v>16</v>
      </c>
      <c r="J16" s="11">
        <f>'Cleaned Data'!$D16*'Cleaned Data'!$E16</f>
        <v>2000.0143000000003</v>
      </c>
      <c r="K16" s="12" t="str">
        <f>IF('Cleaned Data'!$E16&gt;500,"High Quantity","Low Quantity")</f>
        <v>High Quantity</v>
      </c>
      <c r="L16" t="str">
        <f t="shared" si="0"/>
        <v>November</v>
      </c>
    </row>
    <row r="17" spans="1:12" x14ac:dyDescent="0.25">
      <c r="A17" s="13">
        <v>10468</v>
      </c>
      <c r="B17" s="32">
        <v>44875</v>
      </c>
      <c r="C17" s="14" t="s">
        <v>14</v>
      </c>
      <c r="D17" s="15">
        <v>2.95</v>
      </c>
      <c r="E17" s="14">
        <v>677.97</v>
      </c>
      <c r="F17" s="14" t="s">
        <v>18</v>
      </c>
      <c r="G17" s="14" t="s">
        <v>22</v>
      </c>
      <c r="H17" s="14" t="s">
        <v>31</v>
      </c>
      <c r="I17" s="14" t="s">
        <v>16</v>
      </c>
      <c r="J17" s="15">
        <f>'Cleaned Data'!$D17*'Cleaned Data'!$E17</f>
        <v>2000.0115000000003</v>
      </c>
      <c r="K17" s="16" t="str">
        <f>IF('Cleaned Data'!$E17&gt;500,"High Quantity","Low Quantity")</f>
        <v>High Quantity</v>
      </c>
      <c r="L17" t="str">
        <f t="shared" si="0"/>
        <v>November</v>
      </c>
    </row>
    <row r="18" spans="1:12" x14ac:dyDescent="0.25">
      <c r="A18" s="9">
        <v>10470</v>
      </c>
      <c r="B18" s="31">
        <v>44876</v>
      </c>
      <c r="C18" s="10" t="s">
        <v>21</v>
      </c>
      <c r="D18" s="11">
        <v>12.99</v>
      </c>
      <c r="E18" s="10">
        <v>554.27</v>
      </c>
      <c r="F18" s="10" t="s">
        <v>18</v>
      </c>
      <c r="G18" s="10" t="s">
        <v>22</v>
      </c>
      <c r="H18" s="10" t="s">
        <v>31</v>
      </c>
      <c r="I18" s="10" t="s">
        <v>16</v>
      </c>
      <c r="J18" s="11">
        <f>'Cleaned Data'!$D18*'Cleaned Data'!$E18</f>
        <v>7199.9673000000003</v>
      </c>
      <c r="K18" s="12" t="str">
        <f>IF('Cleaned Data'!$E18&gt;500,"High Quantity","Low Quantity")</f>
        <v>High Quantity</v>
      </c>
      <c r="L18" t="str">
        <f t="shared" si="0"/>
        <v>November</v>
      </c>
    </row>
    <row r="19" spans="1:12" x14ac:dyDescent="0.25">
      <c r="A19" s="13">
        <v>10471</v>
      </c>
      <c r="B19" s="32">
        <v>44876</v>
      </c>
      <c r="C19" s="14" t="s">
        <v>25</v>
      </c>
      <c r="D19" s="15">
        <v>9.9499999999999993</v>
      </c>
      <c r="E19" s="14">
        <v>201.01</v>
      </c>
      <c r="F19" s="14" t="s">
        <v>18</v>
      </c>
      <c r="G19" s="14" t="s">
        <v>22</v>
      </c>
      <c r="H19" s="14" t="s">
        <v>31</v>
      </c>
      <c r="I19" s="14" t="s">
        <v>16</v>
      </c>
      <c r="J19" s="15">
        <f>'Cleaned Data'!$D19*'Cleaned Data'!$E19</f>
        <v>2000.0494999999999</v>
      </c>
      <c r="K19" s="16" t="str">
        <f>IF('Cleaned Data'!$E19&gt;500,"High Quantity","Low Quantity")</f>
        <v>Low Quantity</v>
      </c>
      <c r="L19" t="str">
        <f t="shared" si="0"/>
        <v>November</v>
      </c>
    </row>
    <row r="20" spans="1:12" x14ac:dyDescent="0.25">
      <c r="A20" s="9">
        <v>10472</v>
      </c>
      <c r="B20" s="31">
        <v>44876</v>
      </c>
      <c r="C20" s="10" t="s">
        <v>9</v>
      </c>
      <c r="D20" s="11">
        <v>3.49</v>
      </c>
      <c r="E20" s="10">
        <v>630.37</v>
      </c>
      <c r="F20" s="10" t="s">
        <v>18</v>
      </c>
      <c r="G20" s="10" t="s">
        <v>22</v>
      </c>
      <c r="H20" s="10" t="s">
        <v>31</v>
      </c>
      <c r="I20" s="10" t="s">
        <v>16</v>
      </c>
      <c r="J20" s="11">
        <f>'Cleaned Data'!$D20*'Cleaned Data'!$E20</f>
        <v>2199.9913000000001</v>
      </c>
      <c r="K20" s="12" t="str">
        <f>IF('Cleaned Data'!$E20&gt;500,"High Quantity","Low Quantity")</f>
        <v>High Quantity</v>
      </c>
      <c r="L20" t="str">
        <f t="shared" si="0"/>
        <v>November</v>
      </c>
    </row>
    <row r="21" spans="1:12" x14ac:dyDescent="0.25">
      <c r="A21" s="13">
        <v>10473</v>
      </c>
      <c r="B21" s="32">
        <v>44876</v>
      </c>
      <c r="C21" s="14" t="s">
        <v>14</v>
      </c>
      <c r="D21" s="15">
        <v>2.95</v>
      </c>
      <c r="E21" s="14">
        <v>677.97</v>
      </c>
      <c r="F21" s="14" t="s">
        <v>18</v>
      </c>
      <c r="G21" s="14" t="s">
        <v>22</v>
      </c>
      <c r="H21" s="14" t="s">
        <v>31</v>
      </c>
      <c r="I21" s="14" t="s">
        <v>16</v>
      </c>
      <c r="J21" s="15">
        <f>'Cleaned Data'!$D21*'Cleaned Data'!$E21</f>
        <v>2000.0115000000003</v>
      </c>
      <c r="K21" s="16" t="str">
        <f>IF('Cleaned Data'!$E21&gt;500,"High Quantity","Low Quantity")</f>
        <v>High Quantity</v>
      </c>
      <c r="L21" t="str">
        <f t="shared" si="0"/>
        <v>November</v>
      </c>
    </row>
    <row r="22" spans="1:12" x14ac:dyDescent="0.25">
      <c r="A22" s="9">
        <v>10474</v>
      </c>
      <c r="B22" s="31">
        <v>44876</v>
      </c>
      <c r="C22" s="10" t="s">
        <v>17</v>
      </c>
      <c r="D22" s="11">
        <v>4.99</v>
      </c>
      <c r="E22" s="10">
        <v>200.4</v>
      </c>
      <c r="F22" s="10" t="s">
        <v>18</v>
      </c>
      <c r="G22" s="10" t="s">
        <v>22</v>
      </c>
      <c r="H22" s="10" t="s">
        <v>31</v>
      </c>
      <c r="I22" s="10" t="s">
        <v>16</v>
      </c>
      <c r="J22" s="11">
        <f>'Cleaned Data'!$D22*'Cleaned Data'!$E22</f>
        <v>999.99600000000009</v>
      </c>
      <c r="K22" s="12" t="str">
        <f>IF('Cleaned Data'!$E22&gt;500,"High Quantity","Low Quantity")</f>
        <v>Low Quantity</v>
      </c>
      <c r="L22" t="str">
        <f t="shared" si="0"/>
        <v>November</v>
      </c>
    </row>
    <row r="23" spans="1:12" x14ac:dyDescent="0.25">
      <c r="A23" s="13">
        <v>10475</v>
      </c>
      <c r="B23" s="32">
        <v>44877</v>
      </c>
      <c r="C23" s="14" t="s">
        <v>21</v>
      </c>
      <c r="D23" s="15">
        <v>12.99</v>
      </c>
      <c r="E23" s="14">
        <v>523.48</v>
      </c>
      <c r="F23" s="14" t="s">
        <v>18</v>
      </c>
      <c r="G23" s="14" t="s">
        <v>22</v>
      </c>
      <c r="H23" s="14" t="s">
        <v>31</v>
      </c>
      <c r="I23" s="14" t="s">
        <v>16</v>
      </c>
      <c r="J23" s="15">
        <f>'Cleaned Data'!$D23*'Cleaned Data'!$E23</f>
        <v>6800.0052000000005</v>
      </c>
      <c r="K23" s="16" t="str">
        <f>IF('Cleaned Data'!$E23&gt;500,"High Quantity","Low Quantity")</f>
        <v>High Quantity</v>
      </c>
      <c r="L23" t="str">
        <f t="shared" si="0"/>
        <v>November</v>
      </c>
    </row>
    <row r="24" spans="1:12" x14ac:dyDescent="0.25">
      <c r="A24" s="9">
        <v>10476</v>
      </c>
      <c r="B24" s="31">
        <v>44877</v>
      </c>
      <c r="C24" s="10" t="s">
        <v>25</v>
      </c>
      <c r="D24" s="11">
        <v>9.9499999999999993</v>
      </c>
      <c r="E24" s="10">
        <v>201.01</v>
      </c>
      <c r="F24" s="10" t="s">
        <v>18</v>
      </c>
      <c r="G24" s="10" t="s">
        <v>22</v>
      </c>
      <c r="H24" s="10" t="s">
        <v>31</v>
      </c>
      <c r="I24" s="10" t="s">
        <v>16</v>
      </c>
      <c r="J24" s="11">
        <f>'Cleaned Data'!$D24*'Cleaned Data'!$E24</f>
        <v>2000.0494999999999</v>
      </c>
      <c r="K24" s="12" t="str">
        <f>IF('Cleaned Data'!$E24&gt;500,"High Quantity","Low Quantity")</f>
        <v>Low Quantity</v>
      </c>
      <c r="L24" t="str">
        <f t="shared" si="0"/>
        <v>November</v>
      </c>
    </row>
    <row r="25" spans="1:12" x14ac:dyDescent="0.25">
      <c r="A25" s="13">
        <v>10477</v>
      </c>
      <c r="B25" s="32">
        <v>44877</v>
      </c>
      <c r="C25" s="14" t="s">
        <v>9</v>
      </c>
      <c r="D25" s="15">
        <v>3.49</v>
      </c>
      <c r="E25" s="14">
        <v>630.37</v>
      </c>
      <c r="F25" s="14" t="s">
        <v>18</v>
      </c>
      <c r="G25" s="14" t="s">
        <v>22</v>
      </c>
      <c r="H25" s="14" t="s">
        <v>31</v>
      </c>
      <c r="I25" s="14" t="s">
        <v>16</v>
      </c>
      <c r="J25" s="15">
        <f>'Cleaned Data'!$D25*'Cleaned Data'!$E25</f>
        <v>2199.9913000000001</v>
      </c>
      <c r="K25" s="16" t="str">
        <f>IF('Cleaned Data'!$E25&gt;500,"High Quantity","Low Quantity")</f>
        <v>High Quantity</v>
      </c>
      <c r="L25" t="str">
        <f t="shared" si="0"/>
        <v>November</v>
      </c>
    </row>
    <row r="26" spans="1:12" x14ac:dyDescent="0.25">
      <c r="A26" s="9">
        <v>10478</v>
      </c>
      <c r="B26" s="31">
        <v>44877</v>
      </c>
      <c r="C26" s="10" t="s">
        <v>14</v>
      </c>
      <c r="D26" s="11">
        <v>2.95</v>
      </c>
      <c r="E26" s="10">
        <v>677.97</v>
      </c>
      <c r="F26" s="10" t="s">
        <v>18</v>
      </c>
      <c r="G26" s="10" t="s">
        <v>22</v>
      </c>
      <c r="H26" s="10" t="s">
        <v>31</v>
      </c>
      <c r="I26" s="10" t="s">
        <v>16</v>
      </c>
      <c r="J26" s="11">
        <f>'Cleaned Data'!$D26*'Cleaned Data'!$E26</f>
        <v>2000.0115000000003</v>
      </c>
      <c r="K26" s="12" t="str">
        <f>IF('Cleaned Data'!$E26&gt;500,"High Quantity","Low Quantity")</f>
        <v>High Quantity</v>
      </c>
      <c r="L26" t="str">
        <f t="shared" si="0"/>
        <v>November</v>
      </c>
    </row>
    <row r="27" spans="1:12" x14ac:dyDescent="0.25">
      <c r="A27" s="13">
        <v>10479</v>
      </c>
      <c r="B27" s="32">
        <v>44877</v>
      </c>
      <c r="C27" s="14" t="s">
        <v>17</v>
      </c>
      <c r="D27" s="15">
        <v>4.99</v>
      </c>
      <c r="E27" s="14">
        <v>200.4</v>
      </c>
      <c r="F27" s="14" t="s">
        <v>18</v>
      </c>
      <c r="G27" s="14" t="s">
        <v>22</v>
      </c>
      <c r="H27" s="14" t="s">
        <v>31</v>
      </c>
      <c r="I27" s="14" t="s">
        <v>16</v>
      </c>
      <c r="J27" s="15">
        <f>'Cleaned Data'!$D27*'Cleaned Data'!$E27</f>
        <v>999.99600000000009</v>
      </c>
      <c r="K27" s="16" t="str">
        <f>IF('Cleaned Data'!$E27&gt;500,"High Quantity","Low Quantity")</f>
        <v>Low Quantity</v>
      </c>
      <c r="L27" t="str">
        <f t="shared" si="0"/>
        <v>November</v>
      </c>
    </row>
    <row r="28" spans="1:12" x14ac:dyDescent="0.25">
      <c r="A28" s="9">
        <v>10480</v>
      </c>
      <c r="B28" s="31">
        <v>44878</v>
      </c>
      <c r="C28" s="10" t="s">
        <v>21</v>
      </c>
      <c r="D28" s="11">
        <v>12.99</v>
      </c>
      <c r="E28" s="10">
        <v>508.08</v>
      </c>
      <c r="F28" s="10" t="s">
        <v>18</v>
      </c>
      <c r="G28" s="10" t="s">
        <v>22</v>
      </c>
      <c r="H28" s="10" t="s">
        <v>31</v>
      </c>
      <c r="I28" s="10" t="s">
        <v>16</v>
      </c>
      <c r="J28" s="11">
        <f>'Cleaned Data'!$D28*'Cleaned Data'!$E28</f>
        <v>6599.9592000000002</v>
      </c>
      <c r="K28" s="12" t="str">
        <f>IF('Cleaned Data'!$E28&gt;500,"High Quantity","Low Quantity")</f>
        <v>High Quantity</v>
      </c>
      <c r="L28" t="str">
        <f t="shared" si="0"/>
        <v>November</v>
      </c>
    </row>
    <row r="29" spans="1:12" x14ac:dyDescent="0.25">
      <c r="A29" s="13">
        <v>10481</v>
      </c>
      <c r="B29" s="32">
        <v>44878</v>
      </c>
      <c r="C29" s="14" t="s">
        <v>25</v>
      </c>
      <c r="D29" s="15">
        <v>9.9499999999999993</v>
      </c>
      <c r="E29" s="14">
        <v>201.01</v>
      </c>
      <c r="F29" s="14" t="s">
        <v>18</v>
      </c>
      <c r="G29" s="14" t="s">
        <v>22</v>
      </c>
      <c r="H29" s="14" t="s">
        <v>31</v>
      </c>
      <c r="I29" s="14" t="s">
        <v>16</v>
      </c>
      <c r="J29" s="15">
        <f>'Cleaned Data'!$D29*'Cleaned Data'!$E29</f>
        <v>2000.0494999999999</v>
      </c>
      <c r="K29" s="16" t="str">
        <f>IF('Cleaned Data'!$E29&gt;500,"High Quantity","Low Quantity")</f>
        <v>Low Quantity</v>
      </c>
      <c r="L29" t="str">
        <f t="shared" si="0"/>
        <v>November</v>
      </c>
    </row>
    <row r="30" spans="1:12" x14ac:dyDescent="0.25">
      <c r="A30" s="9">
        <v>10482</v>
      </c>
      <c r="B30" s="31">
        <v>44878</v>
      </c>
      <c r="C30" s="10" t="s">
        <v>9</v>
      </c>
      <c r="D30" s="11">
        <v>25.5</v>
      </c>
      <c r="E30" s="10">
        <v>630.37</v>
      </c>
      <c r="F30" s="10" t="s">
        <v>18</v>
      </c>
      <c r="G30" s="10" t="s">
        <v>22</v>
      </c>
      <c r="H30" s="10" t="s">
        <v>36</v>
      </c>
      <c r="I30" s="10" t="s">
        <v>20</v>
      </c>
      <c r="J30" s="11">
        <f>'Cleaned Data'!$D30*'Cleaned Data'!$E30</f>
        <v>16074.434999999999</v>
      </c>
      <c r="K30" s="12" t="str">
        <f>IF('Cleaned Data'!$E30&gt;500,"High Quantity","Low Quantity")</f>
        <v>High Quantity</v>
      </c>
      <c r="L30" t="str">
        <f t="shared" si="0"/>
        <v>November</v>
      </c>
    </row>
    <row r="31" spans="1:12" x14ac:dyDescent="0.25">
      <c r="A31" s="13">
        <v>10486</v>
      </c>
      <c r="B31" s="32">
        <v>44879</v>
      </c>
      <c r="C31" s="14" t="s">
        <v>25</v>
      </c>
      <c r="D31" s="15">
        <v>29.05</v>
      </c>
      <c r="E31" s="14">
        <v>201.01</v>
      </c>
      <c r="F31" s="14" t="s">
        <v>18</v>
      </c>
      <c r="G31" s="14" t="s">
        <v>22</v>
      </c>
      <c r="H31" s="14" t="s">
        <v>36</v>
      </c>
      <c r="I31" s="14" t="s">
        <v>20</v>
      </c>
      <c r="J31" s="15">
        <f>'Cleaned Data'!$D31*'Cleaned Data'!$E31</f>
        <v>5839.3405000000002</v>
      </c>
      <c r="K31" s="16" t="str">
        <f>IF('Cleaned Data'!$E31&gt;500,"High Quantity","Low Quantity")</f>
        <v>Low Quantity</v>
      </c>
      <c r="L31" t="str">
        <f t="shared" si="0"/>
        <v>November</v>
      </c>
    </row>
    <row r="32" spans="1:12" x14ac:dyDescent="0.25">
      <c r="A32" s="9">
        <v>10487</v>
      </c>
      <c r="B32" s="31">
        <v>44879</v>
      </c>
      <c r="C32" s="10" t="s">
        <v>9</v>
      </c>
      <c r="D32" s="11">
        <v>3.49</v>
      </c>
      <c r="E32" s="10">
        <v>630.37</v>
      </c>
      <c r="F32" s="10" t="s">
        <v>18</v>
      </c>
      <c r="G32" s="10" t="s">
        <v>22</v>
      </c>
      <c r="H32" s="10" t="s">
        <v>36</v>
      </c>
      <c r="I32" s="10" t="s">
        <v>20</v>
      </c>
      <c r="J32" s="11">
        <f>'Cleaned Data'!$D32*'Cleaned Data'!$E32</f>
        <v>2199.9913000000001</v>
      </c>
      <c r="K32" s="12" t="str">
        <f>IF('Cleaned Data'!$E32&gt;500,"High Quantity","Low Quantity")</f>
        <v>High Quantity</v>
      </c>
      <c r="L32" t="str">
        <f t="shared" si="0"/>
        <v>November</v>
      </c>
    </row>
    <row r="33" spans="1:12" x14ac:dyDescent="0.25">
      <c r="A33" s="13">
        <v>10488</v>
      </c>
      <c r="B33" s="32">
        <v>44879</v>
      </c>
      <c r="C33" s="14" t="s">
        <v>14</v>
      </c>
      <c r="D33" s="15">
        <v>2.95</v>
      </c>
      <c r="E33" s="14">
        <v>677.97</v>
      </c>
      <c r="F33" s="14" t="s">
        <v>18</v>
      </c>
      <c r="G33" s="14" t="s">
        <v>22</v>
      </c>
      <c r="H33" s="14" t="s">
        <v>36</v>
      </c>
      <c r="I33" s="14" t="s">
        <v>20</v>
      </c>
      <c r="J33" s="15">
        <f>'Cleaned Data'!$D33*'Cleaned Data'!$E33</f>
        <v>2000.0115000000003</v>
      </c>
      <c r="K33" s="16" t="str">
        <f>IF('Cleaned Data'!$E33&gt;500,"High Quantity","Low Quantity")</f>
        <v>High Quantity</v>
      </c>
      <c r="L33" t="str">
        <f t="shared" si="0"/>
        <v>November</v>
      </c>
    </row>
    <row r="34" spans="1:12" x14ac:dyDescent="0.25">
      <c r="A34" s="9">
        <v>10489</v>
      </c>
      <c r="B34" s="31">
        <v>44879</v>
      </c>
      <c r="C34" s="10" t="s">
        <v>17</v>
      </c>
      <c r="D34" s="11">
        <v>4.99</v>
      </c>
      <c r="E34" s="10">
        <v>200.4</v>
      </c>
      <c r="F34" s="10" t="s">
        <v>18</v>
      </c>
      <c r="G34" s="10" t="s">
        <v>22</v>
      </c>
      <c r="H34" s="10" t="s">
        <v>31</v>
      </c>
      <c r="I34" s="10" t="s">
        <v>16</v>
      </c>
      <c r="J34" s="11">
        <f>'Cleaned Data'!$D34*'Cleaned Data'!$E34</f>
        <v>999.99600000000009</v>
      </c>
      <c r="K34" s="12" t="str">
        <f>IF('Cleaned Data'!$E34&gt;500,"High Quantity","Low Quantity")</f>
        <v>Low Quantity</v>
      </c>
      <c r="L34" t="str">
        <f t="shared" si="0"/>
        <v>November</v>
      </c>
    </row>
    <row r="35" spans="1:12" x14ac:dyDescent="0.25">
      <c r="A35" s="13">
        <v>10490</v>
      </c>
      <c r="B35" s="32">
        <v>44880</v>
      </c>
      <c r="C35" s="14" t="s">
        <v>21</v>
      </c>
      <c r="D35" s="15">
        <v>12.99</v>
      </c>
      <c r="E35" s="14">
        <v>508.08</v>
      </c>
      <c r="F35" s="14" t="s">
        <v>18</v>
      </c>
      <c r="G35" s="14" t="s">
        <v>22</v>
      </c>
      <c r="H35" s="14" t="s">
        <v>31</v>
      </c>
      <c r="I35" s="14" t="s">
        <v>16</v>
      </c>
      <c r="J35" s="15">
        <f>'Cleaned Data'!$D35*'Cleaned Data'!$E35</f>
        <v>6599.9592000000002</v>
      </c>
      <c r="K35" s="16" t="str">
        <f>IF('Cleaned Data'!$E35&gt;500,"High Quantity","Low Quantity")</f>
        <v>High Quantity</v>
      </c>
      <c r="L35" t="str">
        <f t="shared" si="0"/>
        <v>November</v>
      </c>
    </row>
    <row r="36" spans="1:12" x14ac:dyDescent="0.25">
      <c r="A36" s="9">
        <v>10491</v>
      </c>
      <c r="B36" s="31">
        <v>44880</v>
      </c>
      <c r="C36" s="10" t="s">
        <v>25</v>
      </c>
      <c r="D36" s="11">
        <v>9.9499999999999993</v>
      </c>
      <c r="E36" s="10">
        <v>201.01</v>
      </c>
      <c r="F36" s="10" t="s">
        <v>18</v>
      </c>
      <c r="G36" s="10" t="s">
        <v>22</v>
      </c>
      <c r="H36" s="10" t="s">
        <v>31</v>
      </c>
      <c r="I36" s="10" t="s">
        <v>16</v>
      </c>
      <c r="J36" s="11">
        <f>'Cleaned Data'!$D36*'Cleaned Data'!$E36</f>
        <v>2000.0494999999999</v>
      </c>
      <c r="K36" s="12" t="str">
        <f>IF('Cleaned Data'!$E36&gt;500,"High Quantity","Low Quantity")</f>
        <v>Low Quantity</v>
      </c>
      <c r="L36" t="str">
        <f t="shared" si="0"/>
        <v>November</v>
      </c>
    </row>
    <row r="37" spans="1:12" x14ac:dyDescent="0.25">
      <c r="A37" s="13">
        <v>10492</v>
      </c>
      <c r="B37" s="32">
        <v>44880</v>
      </c>
      <c r="C37" s="14" t="s">
        <v>9</v>
      </c>
      <c r="D37" s="15">
        <v>3.49</v>
      </c>
      <c r="E37" s="14">
        <v>573.07000000000005</v>
      </c>
      <c r="F37" s="14" t="s">
        <v>18</v>
      </c>
      <c r="G37" s="14" t="s">
        <v>22</v>
      </c>
      <c r="H37" s="14" t="s">
        <v>31</v>
      </c>
      <c r="I37" s="14" t="s">
        <v>16</v>
      </c>
      <c r="J37" s="15">
        <f>'Cleaned Data'!$D37*'Cleaned Data'!$E37</f>
        <v>2000.0143000000003</v>
      </c>
      <c r="K37" s="16" t="str">
        <f>IF('Cleaned Data'!$E37&gt;500,"High Quantity","Low Quantity")</f>
        <v>High Quantity</v>
      </c>
      <c r="L37" t="str">
        <f t="shared" si="0"/>
        <v>November</v>
      </c>
    </row>
    <row r="38" spans="1:12" x14ac:dyDescent="0.25">
      <c r="A38" s="9">
        <v>10493</v>
      </c>
      <c r="B38" s="31">
        <v>44880</v>
      </c>
      <c r="C38" s="10" t="s">
        <v>14</v>
      </c>
      <c r="D38" s="11">
        <v>2.95</v>
      </c>
      <c r="E38" s="10">
        <v>677.97</v>
      </c>
      <c r="F38" s="10" t="s">
        <v>18</v>
      </c>
      <c r="G38" s="10" t="s">
        <v>22</v>
      </c>
      <c r="H38" s="10" t="s">
        <v>31</v>
      </c>
      <c r="I38" s="10" t="s">
        <v>16</v>
      </c>
      <c r="J38" s="11">
        <f>'Cleaned Data'!$D38*'Cleaned Data'!$E38</f>
        <v>2000.0115000000003</v>
      </c>
      <c r="K38" s="12" t="str">
        <f>IF('Cleaned Data'!$E38&gt;500,"High Quantity","Low Quantity")</f>
        <v>High Quantity</v>
      </c>
      <c r="L38" t="str">
        <f t="shared" si="0"/>
        <v>November</v>
      </c>
    </row>
    <row r="39" spans="1:12" x14ac:dyDescent="0.25">
      <c r="A39" s="13">
        <v>10494</v>
      </c>
      <c r="B39" s="32">
        <v>44880</v>
      </c>
      <c r="C39" s="14" t="s">
        <v>17</v>
      </c>
      <c r="D39" s="15">
        <v>4.99</v>
      </c>
      <c r="E39" s="14">
        <v>200.4</v>
      </c>
      <c r="F39" s="14" t="s">
        <v>18</v>
      </c>
      <c r="G39" s="14" t="s">
        <v>22</v>
      </c>
      <c r="H39" s="14" t="s">
        <v>31</v>
      </c>
      <c r="I39" s="14" t="s">
        <v>16</v>
      </c>
      <c r="J39" s="15">
        <f>'Cleaned Data'!$D39*'Cleaned Data'!$E39</f>
        <v>999.99600000000009</v>
      </c>
      <c r="K39" s="16" t="str">
        <f>IF('Cleaned Data'!$E39&gt;500,"High Quantity","Low Quantity")</f>
        <v>Low Quantity</v>
      </c>
      <c r="L39" t="str">
        <f t="shared" si="0"/>
        <v>November</v>
      </c>
    </row>
    <row r="40" spans="1:12" x14ac:dyDescent="0.25">
      <c r="A40" s="9">
        <v>10495</v>
      </c>
      <c r="B40" s="31">
        <v>44881</v>
      </c>
      <c r="C40" s="10" t="s">
        <v>21</v>
      </c>
      <c r="D40" s="11">
        <v>12.99</v>
      </c>
      <c r="E40" s="10">
        <v>508.08</v>
      </c>
      <c r="F40" s="10" t="s">
        <v>18</v>
      </c>
      <c r="G40" s="10" t="s">
        <v>22</v>
      </c>
      <c r="H40" s="10" t="s">
        <v>31</v>
      </c>
      <c r="I40" s="10" t="s">
        <v>16</v>
      </c>
      <c r="J40" s="11">
        <f>'Cleaned Data'!$D40*'Cleaned Data'!$E40</f>
        <v>6599.9592000000002</v>
      </c>
      <c r="K40" s="12" t="str">
        <f>IF('Cleaned Data'!$E40&gt;500,"High Quantity","Low Quantity")</f>
        <v>High Quantity</v>
      </c>
      <c r="L40" t="str">
        <f t="shared" si="0"/>
        <v>November</v>
      </c>
    </row>
    <row r="41" spans="1:12" x14ac:dyDescent="0.25">
      <c r="A41" s="13">
        <v>10496</v>
      </c>
      <c r="B41" s="32">
        <v>44881</v>
      </c>
      <c r="C41" s="14" t="s">
        <v>25</v>
      </c>
      <c r="D41" s="15">
        <v>9.9499999999999993</v>
      </c>
      <c r="E41" s="14">
        <v>201.01</v>
      </c>
      <c r="F41" s="14" t="s">
        <v>18</v>
      </c>
      <c r="G41" s="14" t="s">
        <v>22</v>
      </c>
      <c r="H41" s="14" t="s">
        <v>31</v>
      </c>
      <c r="I41" s="14" t="s">
        <v>16</v>
      </c>
      <c r="J41" s="15">
        <f>'Cleaned Data'!$D41*'Cleaned Data'!$E41</f>
        <v>2000.0494999999999</v>
      </c>
      <c r="K41" s="16" t="str">
        <f>IF('Cleaned Data'!$E41&gt;500,"High Quantity","Low Quantity")</f>
        <v>Low Quantity</v>
      </c>
      <c r="L41" t="str">
        <f t="shared" si="0"/>
        <v>November</v>
      </c>
    </row>
    <row r="42" spans="1:12" x14ac:dyDescent="0.25">
      <c r="A42" s="9">
        <v>10497</v>
      </c>
      <c r="B42" s="31">
        <v>44881</v>
      </c>
      <c r="C42" s="10" t="s">
        <v>9</v>
      </c>
      <c r="D42" s="11">
        <v>3.49</v>
      </c>
      <c r="E42" s="10">
        <v>573.07000000000005</v>
      </c>
      <c r="F42" s="10" t="s">
        <v>18</v>
      </c>
      <c r="G42" s="10" t="s">
        <v>22</v>
      </c>
      <c r="H42" s="10" t="s">
        <v>31</v>
      </c>
      <c r="I42" s="10" t="s">
        <v>16</v>
      </c>
      <c r="J42" s="11">
        <f>'Cleaned Data'!$D42*'Cleaned Data'!$E42</f>
        <v>2000.0143000000003</v>
      </c>
      <c r="K42" s="12" t="str">
        <f>IF('Cleaned Data'!$E42&gt;500,"High Quantity","Low Quantity")</f>
        <v>High Quantity</v>
      </c>
      <c r="L42" t="str">
        <f t="shared" si="0"/>
        <v>November</v>
      </c>
    </row>
    <row r="43" spans="1:12" x14ac:dyDescent="0.25">
      <c r="A43" s="13">
        <v>10498</v>
      </c>
      <c r="B43" s="32">
        <v>44881</v>
      </c>
      <c r="C43" s="14" t="s">
        <v>14</v>
      </c>
      <c r="D43" s="15">
        <v>2.95</v>
      </c>
      <c r="E43" s="14">
        <v>677.97</v>
      </c>
      <c r="F43" s="14" t="s">
        <v>40</v>
      </c>
      <c r="G43" s="14" t="s">
        <v>22</v>
      </c>
      <c r="H43" s="14" t="s">
        <v>31</v>
      </c>
      <c r="I43" s="14" t="s">
        <v>16</v>
      </c>
      <c r="J43" s="15">
        <f>'Cleaned Data'!$D43*'Cleaned Data'!$E43</f>
        <v>2000.0115000000003</v>
      </c>
      <c r="K43" s="16" t="str">
        <f>IF('Cleaned Data'!$E43&gt;500,"High Quantity","Low Quantity")</f>
        <v>High Quantity</v>
      </c>
      <c r="L43" t="str">
        <f t="shared" si="0"/>
        <v>November</v>
      </c>
    </row>
    <row r="44" spans="1:12" x14ac:dyDescent="0.25">
      <c r="A44" s="9">
        <v>10499</v>
      </c>
      <c r="B44" s="31">
        <v>44881</v>
      </c>
      <c r="C44" s="10" t="s">
        <v>17</v>
      </c>
      <c r="D44" s="11">
        <v>4.99</v>
      </c>
      <c r="E44" s="10">
        <v>200.4</v>
      </c>
      <c r="F44" s="10" t="s">
        <v>40</v>
      </c>
      <c r="G44" s="10" t="s">
        <v>22</v>
      </c>
      <c r="H44" s="10" t="s">
        <v>31</v>
      </c>
      <c r="I44" s="10" t="s">
        <v>16</v>
      </c>
      <c r="J44" s="11">
        <f>'Cleaned Data'!$D44*'Cleaned Data'!$E44</f>
        <v>999.99600000000009</v>
      </c>
      <c r="K44" s="12" t="str">
        <f>IF('Cleaned Data'!$E44&gt;500,"High Quantity","Low Quantity")</f>
        <v>Low Quantity</v>
      </c>
      <c r="L44" t="str">
        <f t="shared" si="0"/>
        <v>November</v>
      </c>
    </row>
    <row r="45" spans="1:12" x14ac:dyDescent="0.25">
      <c r="A45" s="13">
        <v>10500</v>
      </c>
      <c r="B45" s="32">
        <v>44882</v>
      </c>
      <c r="C45" s="14" t="s">
        <v>21</v>
      </c>
      <c r="D45" s="15">
        <v>12.99</v>
      </c>
      <c r="E45" s="14">
        <v>523.48</v>
      </c>
      <c r="F45" s="14" t="s">
        <v>40</v>
      </c>
      <c r="G45" s="14" t="s">
        <v>22</v>
      </c>
      <c r="H45" s="14" t="s">
        <v>31</v>
      </c>
      <c r="I45" s="14" t="s">
        <v>16</v>
      </c>
      <c r="J45" s="15">
        <f>'Cleaned Data'!$D45*'Cleaned Data'!$E45</f>
        <v>6800.0052000000005</v>
      </c>
      <c r="K45" s="16" t="str">
        <f>IF('Cleaned Data'!$E45&gt;500,"High Quantity","Low Quantity")</f>
        <v>High Quantity</v>
      </c>
      <c r="L45" t="str">
        <f t="shared" si="0"/>
        <v>November</v>
      </c>
    </row>
    <row r="46" spans="1:12" x14ac:dyDescent="0.25">
      <c r="A46" s="9">
        <v>10501</v>
      </c>
      <c r="B46" s="31">
        <v>44882</v>
      </c>
      <c r="C46" s="10" t="s">
        <v>25</v>
      </c>
      <c r="D46" s="11">
        <v>9.9499999999999993</v>
      </c>
      <c r="E46" s="10">
        <v>201.01</v>
      </c>
      <c r="F46" s="10" t="s">
        <v>40</v>
      </c>
      <c r="G46" s="10" t="s">
        <v>22</v>
      </c>
      <c r="H46" s="10" t="s">
        <v>31</v>
      </c>
      <c r="I46" s="10" t="s">
        <v>16</v>
      </c>
      <c r="J46" s="11">
        <f>'Cleaned Data'!$D46*'Cleaned Data'!$E46</f>
        <v>2000.0494999999999</v>
      </c>
      <c r="K46" s="12" t="str">
        <f>IF('Cleaned Data'!$E46&gt;500,"High Quantity","Low Quantity")</f>
        <v>Low Quantity</v>
      </c>
      <c r="L46" t="str">
        <f t="shared" si="0"/>
        <v>November</v>
      </c>
    </row>
    <row r="47" spans="1:12" x14ac:dyDescent="0.25">
      <c r="A47" s="13">
        <v>10502</v>
      </c>
      <c r="B47" s="32">
        <v>44882</v>
      </c>
      <c r="C47" s="14" t="s">
        <v>9</v>
      </c>
      <c r="D47" s="15">
        <v>3.49</v>
      </c>
      <c r="E47" s="14">
        <v>630.37</v>
      </c>
      <c r="F47" s="14" t="s">
        <v>40</v>
      </c>
      <c r="G47" s="14" t="s">
        <v>22</v>
      </c>
      <c r="H47" s="14" t="s">
        <v>31</v>
      </c>
      <c r="I47" s="14" t="s">
        <v>16</v>
      </c>
      <c r="J47" s="15">
        <f>'Cleaned Data'!$D47*'Cleaned Data'!$E47</f>
        <v>2199.9913000000001</v>
      </c>
      <c r="K47" s="16" t="str">
        <f>IF('Cleaned Data'!$E47&gt;500,"High Quantity","Low Quantity")</f>
        <v>High Quantity</v>
      </c>
      <c r="L47" t="str">
        <f t="shared" si="0"/>
        <v>November</v>
      </c>
    </row>
    <row r="48" spans="1:12" x14ac:dyDescent="0.25">
      <c r="A48" s="9">
        <v>10503</v>
      </c>
      <c r="B48" s="31">
        <v>44882</v>
      </c>
      <c r="C48" s="10" t="s">
        <v>14</v>
      </c>
      <c r="D48" s="11">
        <v>2.95</v>
      </c>
      <c r="E48" s="10">
        <v>677.97</v>
      </c>
      <c r="F48" s="10" t="s">
        <v>40</v>
      </c>
      <c r="G48" s="10" t="s">
        <v>22</v>
      </c>
      <c r="H48" s="10" t="s">
        <v>31</v>
      </c>
      <c r="I48" s="10" t="s">
        <v>16</v>
      </c>
      <c r="J48" s="11">
        <f>'Cleaned Data'!$D48*'Cleaned Data'!$E48</f>
        <v>2000.0115000000003</v>
      </c>
      <c r="K48" s="12" t="str">
        <f>IF('Cleaned Data'!$E48&gt;500,"High Quantity","Low Quantity")</f>
        <v>High Quantity</v>
      </c>
      <c r="L48" t="str">
        <f t="shared" si="0"/>
        <v>November</v>
      </c>
    </row>
    <row r="49" spans="1:12" x14ac:dyDescent="0.25">
      <c r="A49" s="13">
        <v>10504</v>
      </c>
      <c r="B49" s="32">
        <v>44882</v>
      </c>
      <c r="C49" s="14" t="s">
        <v>17</v>
      </c>
      <c r="D49" s="15">
        <v>4.99</v>
      </c>
      <c r="E49" s="14">
        <v>200.4</v>
      </c>
      <c r="F49" s="14" t="s">
        <v>40</v>
      </c>
      <c r="G49" s="14" t="s">
        <v>22</v>
      </c>
      <c r="H49" s="14" t="s">
        <v>31</v>
      </c>
      <c r="I49" s="14" t="s">
        <v>16</v>
      </c>
      <c r="J49" s="15">
        <f>'Cleaned Data'!$D49*'Cleaned Data'!$E49</f>
        <v>999.99600000000009</v>
      </c>
      <c r="K49" s="16" t="str">
        <f>IF('Cleaned Data'!$E49&gt;500,"High Quantity","Low Quantity")</f>
        <v>Low Quantity</v>
      </c>
      <c r="L49" t="str">
        <f t="shared" si="0"/>
        <v>November</v>
      </c>
    </row>
    <row r="50" spans="1:12" x14ac:dyDescent="0.25">
      <c r="A50" s="9">
        <v>10505</v>
      </c>
      <c r="B50" s="31">
        <v>44883</v>
      </c>
      <c r="C50" s="10" t="s">
        <v>21</v>
      </c>
      <c r="D50" s="11">
        <v>12.99</v>
      </c>
      <c r="E50" s="10">
        <v>538.88</v>
      </c>
      <c r="F50" s="10" t="s">
        <v>40</v>
      </c>
      <c r="G50" s="10" t="s">
        <v>22</v>
      </c>
      <c r="H50" s="10" t="s">
        <v>31</v>
      </c>
      <c r="I50" s="10" t="s">
        <v>16</v>
      </c>
      <c r="J50" s="11">
        <f>'Cleaned Data'!$D50*'Cleaned Data'!$E50</f>
        <v>7000.0511999999999</v>
      </c>
      <c r="K50" s="12" t="str">
        <f>IF('Cleaned Data'!$E50&gt;500,"High Quantity","Low Quantity")</f>
        <v>High Quantity</v>
      </c>
      <c r="L50" t="str">
        <f t="shared" si="0"/>
        <v>November</v>
      </c>
    </row>
    <row r="51" spans="1:12" x14ac:dyDescent="0.25">
      <c r="A51" s="13">
        <v>10506</v>
      </c>
      <c r="B51" s="32">
        <v>44883</v>
      </c>
      <c r="C51" s="14" t="s">
        <v>25</v>
      </c>
      <c r="D51" s="15">
        <v>9.9499999999999993</v>
      </c>
      <c r="E51" s="14">
        <v>201.01</v>
      </c>
      <c r="F51" s="14" t="s">
        <v>40</v>
      </c>
      <c r="G51" s="14" t="s">
        <v>22</v>
      </c>
      <c r="H51" s="14" t="s">
        <v>31</v>
      </c>
      <c r="I51" s="14" t="s">
        <v>16</v>
      </c>
      <c r="J51" s="15">
        <f>'Cleaned Data'!$D51*'Cleaned Data'!$E51</f>
        <v>2000.0494999999999</v>
      </c>
      <c r="K51" s="16" t="str">
        <f>IF('Cleaned Data'!$E51&gt;500,"High Quantity","Low Quantity")</f>
        <v>Low Quantity</v>
      </c>
      <c r="L51" t="str">
        <f t="shared" si="0"/>
        <v>November</v>
      </c>
    </row>
    <row r="52" spans="1:12" x14ac:dyDescent="0.25">
      <c r="A52" s="9">
        <v>10507</v>
      </c>
      <c r="B52" s="31">
        <v>44883</v>
      </c>
      <c r="C52" s="10" t="s">
        <v>9</v>
      </c>
      <c r="D52" s="11">
        <v>3.49</v>
      </c>
      <c r="E52" s="10">
        <v>687.68</v>
      </c>
      <c r="F52" s="10" t="s">
        <v>40</v>
      </c>
      <c r="G52" s="10" t="s">
        <v>22</v>
      </c>
      <c r="H52" s="10" t="s">
        <v>31</v>
      </c>
      <c r="I52" s="10" t="s">
        <v>16</v>
      </c>
      <c r="J52" s="11">
        <f>'Cleaned Data'!$D52*'Cleaned Data'!$E52</f>
        <v>2400.0032000000001</v>
      </c>
      <c r="K52" s="12" t="str">
        <f>IF('Cleaned Data'!$E52&gt;500,"High Quantity","Low Quantity")</f>
        <v>High Quantity</v>
      </c>
      <c r="L52" t="str">
        <f t="shared" si="0"/>
        <v>November</v>
      </c>
    </row>
    <row r="53" spans="1:12" x14ac:dyDescent="0.25">
      <c r="A53" s="13">
        <v>10508</v>
      </c>
      <c r="B53" s="32">
        <v>44883</v>
      </c>
      <c r="C53" s="14" t="s">
        <v>14</v>
      </c>
      <c r="D53" s="15">
        <v>2.95</v>
      </c>
      <c r="E53" s="14">
        <v>677.97</v>
      </c>
      <c r="F53" s="14" t="s">
        <v>40</v>
      </c>
      <c r="G53" s="14" t="s">
        <v>22</v>
      </c>
      <c r="H53" s="14" t="s">
        <v>31</v>
      </c>
      <c r="I53" s="14" t="s">
        <v>16</v>
      </c>
      <c r="J53" s="15">
        <f>'Cleaned Data'!$D53*'Cleaned Data'!$E53</f>
        <v>2000.0115000000003</v>
      </c>
      <c r="K53" s="16" t="str">
        <f>IF('Cleaned Data'!$E53&gt;500,"High Quantity","Low Quantity")</f>
        <v>High Quantity</v>
      </c>
      <c r="L53" t="str">
        <f t="shared" si="0"/>
        <v>November</v>
      </c>
    </row>
    <row r="54" spans="1:12" x14ac:dyDescent="0.25">
      <c r="A54" s="9">
        <v>10509</v>
      </c>
      <c r="B54" s="31">
        <v>44883</v>
      </c>
      <c r="C54" s="10" t="s">
        <v>17</v>
      </c>
      <c r="D54" s="11">
        <v>4.99</v>
      </c>
      <c r="E54" s="10">
        <v>200.4</v>
      </c>
      <c r="F54" s="10" t="s">
        <v>40</v>
      </c>
      <c r="G54" s="10" t="s">
        <v>22</v>
      </c>
      <c r="H54" s="10" t="s">
        <v>31</v>
      </c>
      <c r="I54" s="10" t="s">
        <v>16</v>
      </c>
      <c r="J54" s="11">
        <f>'Cleaned Data'!$D54*'Cleaned Data'!$E54</f>
        <v>999.99600000000009</v>
      </c>
      <c r="K54" s="12" t="str">
        <f>IF('Cleaned Data'!$E54&gt;500,"High Quantity","Low Quantity")</f>
        <v>Low Quantity</v>
      </c>
      <c r="L54" t="str">
        <f t="shared" si="0"/>
        <v>November</v>
      </c>
    </row>
    <row r="55" spans="1:12" x14ac:dyDescent="0.25">
      <c r="A55" s="13">
        <v>10510</v>
      </c>
      <c r="B55" s="32">
        <v>44884</v>
      </c>
      <c r="C55" s="14" t="s">
        <v>21</v>
      </c>
      <c r="D55" s="15">
        <v>12.99</v>
      </c>
      <c r="E55" s="14">
        <v>508.08</v>
      </c>
      <c r="F55" s="14" t="s">
        <v>40</v>
      </c>
      <c r="G55" s="14" t="s">
        <v>22</v>
      </c>
      <c r="H55" s="14" t="s">
        <v>31</v>
      </c>
      <c r="I55" s="14" t="s">
        <v>16</v>
      </c>
      <c r="J55" s="15">
        <f>'Cleaned Data'!$D55*'Cleaned Data'!$E55</f>
        <v>6599.9592000000002</v>
      </c>
      <c r="K55" s="16" t="str">
        <f>IF('Cleaned Data'!$E55&gt;500,"High Quantity","Low Quantity")</f>
        <v>High Quantity</v>
      </c>
      <c r="L55" t="str">
        <f t="shared" si="0"/>
        <v>November</v>
      </c>
    </row>
    <row r="56" spans="1:12" x14ac:dyDescent="0.25">
      <c r="A56" s="9">
        <v>10511</v>
      </c>
      <c r="B56" s="31">
        <v>44884</v>
      </c>
      <c r="C56" s="10" t="s">
        <v>25</v>
      </c>
      <c r="D56" s="11">
        <v>9.9499999999999993</v>
      </c>
      <c r="E56" s="10">
        <v>201.01</v>
      </c>
      <c r="F56" s="10" t="s">
        <v>40</v>
      </c>
      <c r="G56" s="10" t="s">
        <v>22</v>
      </c>
      <c r="H56" s="10" t="s">
        <v>36</v>
      </c>
      <c r="I56" s="10" t="s">
        <v>20</v>
      </c>
      <c r="J56" s="11">
        <f>'Cleaned Data'!$D56*'Cleaned Data'!$E56</f>
        <v>2000.0494999999999</v>
      </c>
      <c r="K56" s="12" t="str">
        <f>IF('Cleaned Data'!$E56&gt;500,"High Quantity","Low Quantity")</f>
        <v>Low Quantity</v>
      </c>
      <c r="L56" t="str">
        <f t="shared" si="0"/>
        <v>November</v>
      </c>
    </row>
    <row r="57" spans="1:12" x14ac:dyDescent="0.25">
      <c r="A57" s="13">
        <v>10512</v>
      </c>
      <c r="B57" s="32">
        <v>44884</v>
      </c>
      <c r="C57" s="14" t="s">
        <v>9</v>
      </c>
      <c r="D57" s="15">
        <v>3.49</v>
      </c>
      <c r="E57" s="14">
        <v>687.68</v>
      </c>
      <c r="F57" s="14" t="s">
        <v>40</v>
      </c>
      <c r="G57" s="14" t="s">
        <v>22</v>
      </c>
      <c r="H57" s="14" t="s">
        <v>36</v>
      </c>
      <c r="I57" s="14" t="s">
        <v>20</v>
      </c>
      <c r="J57" s="15">
        <f>'Cleaned Data'!$D57*'Cleaned Data'!$E57</f>
        <v>2400.0032000000001</v>
      </c>
      <c r="K57" s="16" t="str">
        <f>IF('Cleaned Data'!$E57&gt;500,"High Quantity","Low Quantity")</f>
        <v>High Quantity</v>
      </c>
      <c r="L57" t="str">
        <f t="shared" si="0"/>
        <v>November</v>
      </c>
    </row>
    <row r="58" spans="1:12" x14ac:dyDescent="0.25">
      <c r="A58" s="9">
        <v>10513</v>
      </c>
      <c r="B58" s="31">
        <v>44884</v>
      </c>
      <c r="C58" s="10" t="s">
        <v>14</v>
      </c>
      <c r="D58" s="11">
        <v>2.95</v>
      </c>
      <c r="E58" s="10">
        <v>677.97</v>
      </c>
      <c r="F58" s="10" t="s">
        <v>40</v>
      </c>
      <c r="G58" s="10" t="s">
        <v>44</v>
      </c>
      <c r="H58" s="10" t="s">
        <v>36</v>
      </c>
      <c r="I58" s="10" t="s">
        <v>20</v>
      </c>
      <c r="J58" s="11">
        <f>'Cleaned Data'!$D58*'Cleaned Data'!$E58</f>
        <v>2000.0115000000003</v>
      </c>
      <c r="K58" s="12" t="str">
        <f>IF('Cleaned Data'!$E58&gt;500,"High Quantity","Low Quantity")</f>
        <v>High Quantity</v>
      </c>
      <c r="L58" t="str">
        <f t="shared" si="0"/>
        <v>November</v>
      </c>
    </row>
    <row r="59" spans="1:12" x14ac:dyDescent="0.25">
      <c r="A59" s="13">
        <v>10514</v>
      </c>
      <c r="B59" s="32">
        <v>44884</v>
      </c>
      <c r="C59" s="14" t="s">
        <v>17</v>
      </c>
      <c r="D59" s="15">
        <v>4.99</v>
      </c>
      <c r="E59" s="14">
        <v>200.4</v>
      </c>
      <c r="F59" s="14" t="s">
        <v>40</v>
      </c>
      <c r="G59" s="14" t="s">
        <v>44</v>
      </c>
      <c r="H59" s="14" t="s">
        <v>36</v>
      </c>
      <c r="I59" s="14" t="s">
        <v>20</v>
      </c>
      <c r="J59" s="15">
        <f>'Cleaned Data'!$D59*'Cleaned Data'!$E59</f>
        <v>999.99600000000009</v>
      </c>
      <c r="K59" s="16" t="str">
        <f>IF('Cleaned Data'!$E59&gt;500,"High Quantity","Low Quantity")</f>
        <v>Low Quantity</v>
      </c>
      <c r="L59" t="str">
        <f t="shared" si="0"/>
        <v>November</v>
      </c>
    </row>
    <row r="60" spans="1:12" x14ac:dyDescent="0.25">
      <c r="A60" s="9">
        <v>10515</v>
      </c>
      <c r="B60" s="31">
        <v>44885</v>
      </c>
      <c r="C60" s="10" t="s">
        <v>21</v>
      </c>
      <c r="D60" s="11">
        <v>12.99</v>
      </c>
      <c r="E60" s="10">
        <v>477.29</v>
      </c>
      <c r="F60" s="10" t="s">
        <v>40</v>
      </c>
      <c r="G60" s="10" t="s">
        <v>44</v>
      </c>
      <c r="H60" s="10" t="s">
        <v>36</v>
      </c>
      <c r="I60" s="10" t="s">
        <v>20</v>
      </c>
      <c r="J60" s="11">
        <f>'Cleaned Data'!$D60*'Cleaned Data'!$E60</f>
        <v>6199.9971000000005</v>
      </c>
      <c r="K60" s="12" t="str">
        <f>IF('Cleaned Data'!$E60&gt;500,"High Quantity","Low Quantity")</f>
        <v>Low Quantity</v>
      </c>
      <c r="L60" t="str">
        <f t="shared" si="0"/>
        <v>November</v>
      </c>
    </row>
    <row r="61" spans="1:12" x14ac:dyDescent="0.25">
      <c r="A61" s="13">
        <v>10516</v>
      </c>
      <c r="B61" s="32">
        <v>44885</v>
      </c>
      <c r="C61" s="14" t="s">
        <v>25</v>
      </c>
      <c r="D61" s="15">
        <v>9.9499999999999993</v>
      </c>
      <c r="E61" s="14">
        <v>201.01</v>
      </c>
      <c r="F61" s="14" t="s">
        <v>40</v>
      </c>
      <c r="G61" s="14" t="s">
        <v>44</v>
      </c>
      <c r="H61" s="14" t="s">
        <v>36</v>
      </c>
      <c r="I61" s="14" t="s">
        <v>20</v>
      </c>
      <c r="J61" s="15">
        <f>'Cleaned Data'!$D61*'Cleaned Data'!$E61</f>
        <v>2000.0494999999999</v>
      </c>
      <c r="K61" s="16" t="str">
        <f>IF('Cleaned Data'!$E61&gt;500,"High Quantity","Low Quantity")</f>
        <v>Low Quantity</v>
      </c>
      <c r="L61" t="str">
        <f t="shared" si="0"/>
        <v>November</v>
      </c>
    </row>
    <row r="62" spans="1:12" x14ac:dyDescent="0.25">
      <c r="A62" s="9">
        <v>10483</v>
      </c>
      <c r="B62" s="31">
        <v>44878</v>
      </c>
      <c r="C62" s="10" t="s">
        <v>14</v>
      </c>
      <c r="D62" s="11">
        <v>2.95</v>
      </c>
      <c r="E62" s="10">
        <v>677.97</v>
      </c>
      <c r="F62" s="10" t="s">
        <v>18</v>
      </c>
      <c r="G62" s="10" t="s">
        <v>22</v>
      </c>
      <c r="H62" s="10" t="s">
        <v>36</v>
      </c>
      <c r="I62" s="10" t="s">
        <v>20</v>
      </c>
      <c r="J62" s="11">
        <f>'Cleaned Data'!$D62*'Cleaned Data'!$E62</f>
        <v>2000.0115000000003</v>
      </c>
      <c r="K62" s="12" t="str">
        <f>IF('Cleaned Data'!$E62&gt;500,"High Quantity","Low Quantity")</f>
        <v>High Quantity</v>
      </c>
      <c r="L62" t="str">
        <f t="shared" si="0"/>
        <v>November</v>
      </c>
    </row>
    <row r="63" spans="1:12" x14ac:dyDescent="0.25">
      <c r="A63" s="13">
        <v>10484</v>
      </c>
      <c r="B63" s="32">
        <v>44878</v>
      </c>
      <c r="C63" s="14" t="s">
        <v>17</v>
      </c>
      <c r="D63" s="15">
        <v>4.99</v>
      </c>
      <c r="E63" s="14">
        <v>200.4</v>
      </c>
      <c r="F63" s="14" t="s">
        <v>18</v>
      </c>
      <c r="G63" s="14" t="s">
        <v>22</v>
      </c>
      <c r="H63" s="14" t="s">
        <v>36</v>
      </c>
      <c r="I63" s="14" t="s">
        <v>20</v>
      </c>
      <c r="J63" s="15">
        <f>'Cleaned Data'!$D63*'Cleaned Data'!$E63</f>
        <v>999.99600000000009</v>
      </c>
      <c r="K63" s="16" t="str">
        <f>IF('Cleaned Data'!$E63&gt;500,"High Quantity","Low Quantity")</f>
        <v>Low Quantity</v>
      </c>
      <c r="L63" t="str">
        <f t="shared" si="0"/>
        <v>November</v>
      </c>
    </row>
    <row r="64" spans="1:12" x14ac:dyDescent="0.25">
      <c r="A64" s="9">
        <v>10485</v>
      </c>
      <c r="B64" s="31">
        <v>44879</v>
      </c>
      <c r="C64" s="10" t="s">
        <v>21</v>
      </c>
      <c r="D64" s="11">
        <v>12.99</v>
      </c>
      <c r="E64" s="10">
        <v>523.48</v>
      </c>
      <c r="F64" s="10" t="s">
        <v>18</v>
      </c>
      <c r="G64" s="10" t="s">
        <v>22</v>
      </c>
      <c r="H64" s="10" t="s">
        <v>36</v>
      </c>
      <c r="I64" s="10" t="s">
        <v>20</v>
      </c>
      <c r="J64" s="11">
        <f>'Cleaned Data'!$D64*'Cleaned Data'!$E64</f>
        <v>6800.0052000000005</v>
      </c>
      <c r="K64" s="12" t="str">
        <f>IF('Cleaned Data'!$E64&gt;500,"High Quantity","Low Quantity")</f>
        <v>High Quantity</v>
      </c>
      <c r="L64" t="str">
        <f t="shared" si="0"/>
        <v>November</v>
      </c>
    </row>
    <row r="65" spans="1:12" x14ac:dyDescent="0.25">
      <c r="A65" s="13">
        <v>10520</v>
      </c>
      <c r="B65" s="32">
        <v>44886</v>
      </c>
      <c r="C65" s="14" t="s">
        <v>21</v>
      </c>
      <c r="D65" s="15">
        <v>12.99</v>
      </c>
      <c r="E65" s="14">
        <v>492.69</v>
      </c>
      <c r="F65" s="14" t="s">
        <v>40</v>
      </c>
      <c r="G65" s="14" t="s">
        <v>44</v>
      </c>
      <c r="H65" s="14" t="s">
        <v>28</v>
      </c>
      <c r="I65" s="14" t="s">
        <v>27</v>
      </c>
      <c r="J65" s="15">
        <f>'Cleaned Data'!$D65*'Cleaned Data'!$E65</f>
        <v>6400.0430999999999</v>
      </c>
      <c r="K65" s="16" t="str">
        <f>IF('Cleaned Data'!$E65&gt;500,"High Quantity","Low Quantity")</f>
        <v>Low Quantity</v>
      </c>
      <c r="L65" t="str">
        <f t="shared" si="0"/>
        <v>November</v>
      </c>
    </row>
    <row r="66" spans="1:12" x14ac:dyDescent="0.25">
      <c r="A66" s="9">
        <v>10521</v>
      </c>
      <c r="B66" s="31">
        <v>44886</v>
      </c>
      <c r="C66" s="10" t="s">
        <v>25</v>
      </c>
      <c r="D66" s="11">
        <v>9.9499999999999993</v>
      </c>
      <c r="E66" s="10">
        <v>201.01</v>
      </c>
      <c r="F66" s="10" t="s">
        <v>40</v>
      </c>
      <c r="G66" s="10" t="s">
        <v>44</v>
      </c>
      <c r="H66" s="10" t="s">
        <v>28</v>
      </c>
      <c r="I66" s="10" t="s">
        <v>27</v>
      </c>
      <c r="J66" s="11">
        <f>'Cleaned Data'!$D66*'Cleaned Data'!$E66</f>
        <v>2000.0494999999999</v>
      </c>
      <c r="K66" s="12" t="str">
        <f>IF('Cleaned Data'!$E66&gt;500,"High Quantity","Low Quantity")</f>
        <v>Low Quantity</v>
      </c>
      <c r="L66" t="str">
        <f t="shared" si="0"/>
        <v>November</v>
      </c>
    </row>
    <row r="67" spans="1:12" x14ac:dyDescent="0.25">
      <c r="A67" s="13">
        <v>10522</v>
      </c>
      <c r="B67" s="32">
        <v>44886</v>
      </c>
      <c r="C67" s="14" t="s">
        <v>9</v>
      </c>
      <c r="D67" s="15">
        <v>3.49</v>
      </c>
      <c r="E67" s="14">
        <v>687.68</v>
      </c>
      <c r="F67" s="14" t="s">
        <v>40</v>
      </c>
      <c r="G67" s="14" t="s">
        <v>44</v>
      </c>
      <c r="H67" s="14" t="s">
        <v>28</v>
      </c>
      <c r="I67" s="14" t="s">
        <v>27</v>
      </c>
      <c r="J67" s="15">
        <f>'Cleaned Data'!$D67*'Cleaned Data'!$E67</f>
        <v>2400.0032000000001</v>
      </c>
      <c r="K67" s="16" t="str">
        <f>IF('Cleaned Data'!$E67&gt;500,"High Quantity","Low Quantity")</f>
        <v>High Quantity</v>
      </c>
      <c r="L67" t="str">
        <f t="shared" ref="L67:L130" si="1">TEXT(B67,"mmmm")</f>
        <v>November</v>
      </c>
    </row>
    <row r="68" spans="1:12" x14ac:dyDescent="0.25">
      <c r="A68" s="9">
        <v>10523</v>
      </c>
      <c r="B68" s="31">
        <v>44886</v>
      </c>
      <c r="C68" s="10" t="s">
        <v>14</v>
      </c>
      <c r="D68" s="11">
        <v>2.95</v>
      </c>
      <c r="E68" s="10">
        <v>745.76</v>
      </c>
      <c r="F68" s="10" t="s">
        <v>40</v>
      </c>
      <c r="G68" s="10" t="s">
        <v>44</v>
      </c>
      <c r="H68" s="10" t="s">
        <v>28</v>
      </c>
      <c r="I68" s="10" t="s">
        <v>27</v>
      </c>
      <c r="J68" s="11">
        <f>'Cleaned Data'!$D68*'Cleaned Data'!$E68</f>
        <v>2199.9920000000002</v>
      </c>
      <c r="K68" s="12" t="str">
        <f>IF('Cleaned Data'!$E68&gt;500,"High Quantity","Low Quantity")</f>
        <v>High Quantity</v>
      </c>
      <c r="L68" t="str">
        <f t="shared" si="1"/>
        <v>November</v>
      </c>
    </row>
    <row r="69" spans="1:12" x14ac:dyDescent="0.25">
      <c r="A69" s="13">
        <v>10524</v>
      </c>
      <c r="B69" s="32">
        <v>44886</v>
      </c>
      <c r="C69" s="14" t="s">
        <v>17</v>
      </c>
      <c r="D69" s="15">
        <v>4.99</v>
      </c>
      <c r="E69" s="14">
        <v>200.4</v>
      </c>
      <c r="F69" s="14" t="s">
        <v>40</v>
      </c>
      <c r="G69" s="14" t="s">
        <v>44</v>
      </c>
      <c r="H69" s="14" t="s">
        <v>28</v>
      </c>
      <c r="I69" s="14" t="s">
        <v>27</v>
      </c>
      <c r="J69" s="15">
        <f>'Cleaned Data'!$D69*'Cleaned Data'!$E69</f>
        <v>999.99600000000009</v>
      </c>
      <c r="K69" s="16" t="str">
        <f>IF('Cleaned Data'!$E69&gt;500,"High Quantity","Low Quantity")</f>
        <v>Low Quantity</v>
      </c>
      <c r="L69" t="str">
        <f t="shared" si="1"/>
        <v>November</v>
      </c>
    </row>
    <row r="70" spans="1:12" x14ac:dyDescent="0.25">
      <c r="A70" s="9">
        <v>10525</v>
      </c>
      <c r="B70" s="31">
        <v>44887</v>
      </c>
      <c r="C70" s="10" t="s">
        <v>21</v>
      </c>
      <c r="D70" s="11">
        <v>12.99</v>
      </c>
      <c r="E70" s="10">
        <v>461.89</v>
      </c>
      <c r="F70" s="10" t="s">
        <v>40</v>
      </c>
      <c r="G70" s="10" t="s">
        <v>44</v>
      </c>
      <c r="H70" s="10" t="s">
        <v>28</v>
      </c>
      <c r="I70" s="10" t="s">
        <v>27</v>
      </c>
      <c r="J70" s="11">
        <f>'Cleaned Data'!$D70*'Cleaned Data'!$E70</f>
        <v>5999.9511000000002</v>
      </c>
      <c r="K70" s="12" t="str">
        <f>IF('Cleaned Data'!$E70&gt;500,"High Quantity","Low Quantity")</f>
        <v>Low Quantity</v>
      </c>
      <c r="L70" t="str">
        <f t="shared" si="1"/>
        <v>November</v>
      </c>
    </row>
    <row r="71" spans="1:12" x14ac:dyDescent="0.25">
      <c r="A71" s="13">
        <v>10526</v>
      </c>
      <c r="B71" s="32">
        <v>44887</v>
      </c>
      <c r="C71" s="14" t="s">
        <v>25</v>
      </c>
      <c r="D71" s="15">
        <v>9.9499999999999993</v>
      </c>
      <c r="E71" s="14">
        <v>201.01</v>
      </c>
      <c r="F71" s="14" t="s">
        <v>40</v>
      </c>
      <c r="G71" s="14" t="s">
        <v>44</v>
      </c>
      <c r="H71" s="14" t="s">
        <v>28</v>
      </c>
      <c r="I71" s="14" t="s">
        <v>27</v>
      </c>
      <c r="J71" s="15">
        <f>'Cleaned Data'!$D71*'Cleaned Data'!$E71</f>
        <v>2000.0494999999999</v>
      </c>
      <c r="K71" s="16" t="str">
        <f>IF('Cleaned Data'!$E71&gt;500,"High Quantity","Low Quantity")</f>
        <v>Low Quantity</v>
      </c>
      <c r="L71" t="str">
        <f t="shared" si="1"/>
        <v>November</v>
      </c>
    </row>
    <row r="72" spans="1:12" x14ac:dyDescent="0.25">
      <c r="A72" s="9">
        <v>10527</v>
      </c>
      <c r="B72" s="31">
        <v>44887</v>
      </c>
      <c r="C72" s="10" t="s">
        <v>9</v>
      </c>
      <c r="D72" s="11">
        <v>3.49</v>
      </c>
      <c r="E72" s="10">
        <v>687.68</v>
      </c>
      <c r="F72" s="10" t="s">
        <v>40</v>
      </c>
      <c r="G72" s="10" t="s">
        <v>44</v>
      </c>
      <c r="H72" s="10" t="s">
        <v>28</v>
      </c>
      <c r="I72" s="10" t="s">
        <v>27</v>
      </c>
      <c r="J72" s="11">
        <f>'Cleaned Data'!$D72*'Cleaned Data'!$E72</f>
        <v>2400.0032000000001</v>
      </c>
      <c r="K72" s="12" t="str">
        <f>IF('Cleaned Data'!$E72&gt;500,"High Quantity","Low Quantity")</f>
        <v>High Quantity</v>
      </c>
      <c r="L72" t="str">
        <f t="shared" si="1"/>
        <v>November</v>
      </c>
    </row>
    <row r="73" spans="1:12" x14ac:dyDescent="0.25">
      <c r="A73" s="13">
        <v>10528</v>
      </c>
      <c r="B73" s="32">
        <v>44887</v>
      </c>
      <c r="C73" s="14" t="s">
        <v>14</v>
      </c>
      <c r="D73" s="15">
        <v>2.95</v>
      </c>
      <c r="E73" s="14">
        <v>745.76</v>
      </c>
      <c r="F73" s="14" t="s">
        <v>40</v>
      </c>
      <c r="G73" s="14" t="s">
        <v>44</v>
      </c>
      <c r="H73" s="14" t="s">
        <v>28</v>
      </c>
      <c r="I73" s="14" t="s">
        <v>27</v>
      </c>
      <c r="J73" s="15">
        <f>'Cleaned Data'!$D73*'Cleaned Data'!$E73</f>
        <v>2199.9920000000002</v>
      </c>
      <c r="K73" s="16" t="str">
        <f>IF('Cleaned Data'!$E73&gt;500,"High Quantity","Low Quantity")</f>
        <v>High Quantity</v>
      </c>
      <c r="L73" t="str">
        <f t="shared" si="1"/>
        <v>November</v>
      </c>
    </row>
    <row r="74" spans="1:12" x14ac:dyDescent="0.25">
      <c r="A74" s="9">
        <v>10529</v>
      </c>
      <c r="B74" s="31">
        <v>44887</v>
      </c>
      <c r="C74" s="10" t="s">
        <v>17</v>
      </c>
      <c r="D74" s="11">
        <v>4.99</v>
      </c>
      <c r="E74" s="10">
        <v>200.4</v>
      </c>
      <c r="F74" s="10" t="s">
        <v>40</v>
      </c>
      <c r="G74" s="10" t="s">
        <v>44</v>
      </c>
      <c r="H74" s="10" t="s">
        <v>28</v>
      </c>
      <c r="I74" s="10" t="s">
        <v>27</v>
      </c>
      <c r="J74" s="11">
        <f>'Cleaned Data'!$D74*'Cleaned Data'!$E74</f>
        <v>999.99600000000009</v>
      </c>
      <c r="K74" s="12" t="str">
        <f>IF('Cleaned Data'!$E74&gt;500,"High Quantity","Low Quantity")</f>
        <v>Low Quantity</v>
      </c>
      <c r="L74" t="str">
        <f t="shared" si="1"/>
        <v>November</v>
      </c>
    </row>
    <row r="75" spans="1:12" x14ac:dyDescent="0.25">
      <c r="A75" s="13">
        <v>10530</v>
      </c>
      <c r="B75" s="32">
        <v>44888</v>
      </c>
      <c r="C75" s="14" t="s">
        <v>21</v>
      </c>
      <c r="D75" s="15">
        <v>12.99</v>
      </c>
      <c r="E75" s="14">
        <v>477.29</v>
      </c>
      <c r="F75" s="14" t="s">
        <v>40</v>
      </c>
      <c r="G75" s="14" t="s">
        <v>44</v>
      </c>
      <c r="H75" s="14" t="s">
        <v>28</v>
      </c>
      <c r="I75" s="14" t="s">
        <v>27</v>
      </c>
      <c r="J75" s="15">
        <f>'Cleaned Data'!$D75*'Cleaned Data'!$E75</f>
        <v>6199.9971000000005</v>
      </c>
      <c r="K75" s="16" t="str">
        <f>IF('Cleaned Data'!$E75&gt;500,"High Quantity","Low Quantity")</f>
        <v>Low Quantity</v>
      </c>
      <c r="L75" t="str">
        <f t="shared" si="1"/>
        <v>November</v>
      </c>
    </row>
    <row r="76" spans="1:12" x14ac:dyDescent="0.25">
      <c r="A76" s="9">
        <v>10531</v>
      </c>
      <c r="B76" s="31">
        <v>44888</v>
      </c>
      <c r="C76" s="10" t="s">
        <v>25</v>
      </c>
      <c r="D76" s="11">
        <v>9.9499999999999993</v>
      </c>
      <c r="E76" s="10">
        <v>201.01</v>
      </c>
      <c r="F76" s="10" t="s">
        <v>40</v>
      </c>
      <c r="G76" s="10" t="s">
        <v>44</v>
      </c>
      <c r="H76" s="10" t="s">
        <v>28</v>
      </c>
      <c r="I76" s="10" t="s">
        <v>27</v>
      </c>
      <c r="J76" s="11">
        <f>'Cleaned Data'!$D76*'Cleaned Data'!$E76</f>
        <v>2000.0494999999999</v>
      </c>
      <c r="K76" s="12" t="str">
        <f>IF('Cleaned Data'!$E76&gt;500,"High Quantity","Low Quantity")</f>
        <v>Low Quantity</v>
      </c>
      <c r="L76" t="str">
        <f t="shared" si="1"/>
        <v>November</v>
      </c>
    </row>
    <row r="77" spans="1:12" x14ac:dyDescent="0.25">
      <c r="A77" s="13">
        <v>10532</v>
      </c>
      <c r="B77" s="32">
        <v>44888</v>
      </c>
      <c r="C77" s="14" t="s">
        <v>9</v>
      </c>
      <c r="D77" s="15">
        <v>3.49</v>
      </c>
      <c r="E77" s="14">
        <v>687.68</v>
      </c>
      <c r="F77" s="14" t="s">
        <v>40</v>
      </c>
      <c r="G77" s="14" t="s">
        <v>44</v>
      </c>
      <c r="H77" s="14" t="s">
        <v>36</v>
      </c>
      <c r="I77" s="14" t="s">
        <v>20</v>
      </c>
      <c r="J77" s="15">
        <f>'Cleaned Data'!$D77*'Cleaned Data'!$E77</f>
        <v>2400.0032000000001</v>
      </c>
      <c r="K77" s="16" t="str">
        <f>IF('Cleaned Data'!$E77&gt;500,"High Quantity","Low Quantity")</f>
        <v>High Quantity</v>
      </c>
      <c r="L77" t="str">
        <f t="shared" si="1"/>
        <v>November</v>
      </c>
    </row>
    <row r="78" spans="1:12" x14ac:dyDescent="0.25">
      <c r="A78" s="9">
        <v>10533</v>
      </c>
      <c r="B78" s="31">
        <v>44888</v>
      </c>
      <c r="C78" s="10" t="s">
        <v>14</v>
      </c>
      <c r="D78" s="11">
        <v>2.95</v>
      </c>
      <c r="E78" s="10">
        <v>745.76</v>
      </c>
      <c r="F78" s="10" t="s">
        <v>40</v>
      </c>
      <c r="G78" s="10" t="s">
        <v>44</v>
      </c>
      <c r="H78" s="10" t="s">
        <v>36</v>
      </c>
      <c r="I78" s="10" t="s">
        <v>20</v>
      </c>
      <c r="J78" s="11">
        <f>'Cleaned Data'!$D78*'Cleaned Data'!$E78</f>
        <v>2199.9920000000002</v>
      </c>
      <c r="K78" s="12" t="str">
        <f>IF('Cleaned Data'!$E78&gt;500,"High Quantity","Low Quantity")</f>
        <v>High Quantity</v>
      </c>
      <c r="L78" t="str">
        <f t="shared" si="1"/>
        <v>November</v>
      </c>
    </row>
    <row r="79" spans="1:12" x14ac:dyDescent="0.25">
      <c r="A79" s="13">
        <v>10534</v>
      </c>
      <c r="B79" s="32">
        <v>44888</v>
      </c>
      <c r="C79" s="14" t="s">
        <v>17</v>
      </c>
      <c r="D79" s="15">
        <v>4.99</v>
      </c>
      <c r="E79" s="14">
        <v>200.4</v>
      </c>
      <c r="F79" s="14" t="s">
        <v>40</v>
      </c>
      <c r="G79" s="14" t="s">
        <v>44</v>
      </c>
      <c r="H79" s="14" t="s">
        <v>31</v>
      </c>
      <c r="I79" s="14" t="s">
        <v>16</v>
      </c>
      <c r="J79" s="15">
        <f>'Cleaned Data'!$D79*'Cleaned Data'!$E79</f>
        <v>999.99600000000009</v>
      </c>
      <c r="K79" s="16" t="str">
        <f>IF('Cleaned Data'!$E79&gt;500,"High Quantity","Low Quantity")</f>
        <v>Low Quantity</v>
      </c>
      <c r="L79" t="str">
        <f t="shared" si="1"/>
        <v>November</v>
      </c>
    </row>
    <row r="80" spans="1:12" x14ac:dyDescent="0.25">
      <c r="A80" s="9">
        <v>10535</v>
      </c>
      <c r="B80" s="31">
        <v>44889</v>
      </c>
      <c r="C80" s="10" t="s">
        <v>21</v>
      </c>
      <c r="D80" s="11">
        <v>12.99</v>
      </c>
      <c r="E80" s="10">
        <v>477.29</v>
      </c>
      <c r="F80" s="10" t="s">
        <v>40</v>
      </c>
      <c r="G80" s="10" t="s">
        <v>22</v>
      </c>
      <c r="H80" s="10" t="s">
        <v>31</v>
      </c>
      <c r="I80" s="10" t="s">
        <v>16</v>
      </c>
      <c r="J80" s="11">
        <f>'Cleaned Data'!$D80*'Cleaned Data'!$E80</f>
        <v>6199.9971000000005</v>
      </c>
      <c r="K80" s="12" t="str">
        <f>IF('Cleaned Data'!$E80&gt;500,"High Quantity","Low Quantity")</f>
        <v>Low Quantity</v>
      </c>
      <c r="L80" t="str">
        <f t="shared" si="1"/>
        <v>November</v>
      </c>
    </row>
    <row r="81" spans="1:12" x14ac:dyDescent="0.25">
      <c r="A81" s="13">
        <v>10536</v>
      </c>
      <c r="B81" s="32">
        <v>44889</v>
      </c>
      <c r="C81" s="14" t="s">
        <v>25</v>
      </c>
      <c r="D81" s="15">
        <v>9.9499999999999993</v>
      </c>
      <c r="E81" s="14">
        <v>201.01</v>
      </c>
      <c r="F81" s="14" t="s">
        <v>40</v>
      </c>
      <c r="G81" s="14" t="s">
        <v>22</v>
      </c>
      <c r="H81" s="14" t="s">
        <v>31</v>
      </c>
      <c r="I81" s="14" t="s">
        <v>16</v>
      </c>
      <c r="J81" s="15">
        <f>'Cleaned Data'!$D81*'Cleaned Data'!$E81</f>
        <v>2000.0494999999999</v>
      </c>
      <c r="K81" s="16" t="str">
        <f>IF('Cleaned Data'!$E81&gt;500,"High Quantity","Low Quantity")</f>
        <v>Low Quantity</v>
      </c>
      <c r="L81" t="str">
        <f t="shared" si="1"/>
        <v>November</v>
      </c>
    </row>
    <row r="82" spans="1:12" x14ac:dyDescent="0.25">
      <c r="A82" s="9">
        <v>10540</v>
      </c>
      <c r="B82" s="31">
        <v>44890</v>
      </c>
      <c r="C82" s="10" t="s">
        <v>21</v>
      </c>
      <c r="D82" s="11">
        <v>12.99</v>
      </c>
      <c r="E82" s="10">
        <v>461.89</v>
      </c>
      <c r="F82" s="10" t="s">
        <v>40</v>
      </c>
      <c r="G82" s="10" t="s">
        <v>22</v>
      </c>
      <c r="H82" s="10" t="s">
        <v>31</v>
      </c>
      <c r="I82" s="10" t="s">
        <v>16</v>
      </c>
      <c r="J82" s="11">
        <f>'Cleaned Data'!$D82*'Cleaned Data'!$E82</f>
        <v>5999.9511000000002</v>
      </c>
      <c r="K82" s="12" t="str">
        <f>IF('Cleaned Data'!$E82&gt;500,"High Quantity","Low Quantity")</f>
        <v>Low Quantity</v>
      </c>
      <c r="L82" t="str">
        <f t="shared" si="1"/>
        <v>November</v>
      </c>
    </row>
    <row r="83" spans="1:12" x14ac:dyDescent="0.25">
      <c r="A83" s="13">
        <v>10541</v>
      </c>
      <c r="B83" s="32">
        <v>44890</v>
      </c>
      <c r="C83" s="14" t="s">
        <v>25</v>
      </c>
      <c r="D83" s="15">
        <v>9.9499999999999993</v>
      </c>
      <c r="E83" s="14">
        <v>201.01</v>
      </c>
      <c r="F83" s="14" t="s">
        <v>40</v>
      </c>
      <c r="G83" s="14" t="s">
        <v>22</v>
      </c>
      <c r="H83" s="14" t="s">
        <v>51</v>
      </c>
      <c r="I83" s="14" t="s">
        <v>13</v>
      </c>
      <c r="J83" s="15">
        <f>'Cleaned Data'!$D83*'Cleaned Data'!$E83</f>
        <v>2000.0494999999999</v>
      </c>
      <c r="K83" s="16" t="str">
        <f>IF('Cleaned Data'!$E83&gt;500,"High Quantity","Low Quantity")</f>
        <v>Low Quantity</v>
      </c>
      <c r="L83" t="str">
        <f t="shared" si="1"/>
        <v>November</v>
      </c>
    </row>
    <row r="84" spans="1:12" x14ac:dyDescent="0.25">
      <c r="A84" s="9">
        <v>10542</v>
      </c>
      <c r="B84" s="31">
        <v>44890</v>
      </c>
      <c r="C84" s="10" t="s">
        <v>9</v>
      </c>
      <c r="D84" s="11">
        <v>3.49</v>
      </c>
      <c r="E84" s="10">
        <v>630.37</v>
      </c>
      <c r="F84" s="10" t="s">
        <v>40</v>
      </c>
      <c r="G84" s="10" t="s">
        <v>22</v>
      </c>
      <c r="H84" s="10" t="s">
        <v>51</v>
      </c>
      <c r="I84" s="10" t="s">
        <v>13</v>
      </c>
      <c r="J84" s="11">
        <f>'Cleaned Data'!$D84*'Cleaned Data'!$E84</f>
        <v>2199.9913000000001</v>
      </c>
      <c r="K84" s="12" t="str">
        <f>IF('Cleaned Data'!$E84&gt;500,"High Quantity","Low Quantity")</f>
        <v>High Quantity</v>
      </c>
      <c r="L84" t="str">
        <f t="shared" si="1"/>
        <v>November</v>
      </c>
    </row>
    <row r="85" spans="1:12" x14ac:dyDescent="0.25">
      <c r="A85" s="13">
        <v>10543</v>
      </c>
      <c r="B85" s="32">
        <v>44890</v>
      </c>
      <c r="C85" s="14" t="s">
        <v>14</v>
      </c>
      <c r="D85" s="15">
        <v>2.95</v>
      </c>
      <c r="E85" s="14">
        <v>745.76</v>
      </c>
      <c r="F85" s="14" t="s">
        <v>40</v>
      </c>
      <c r="G85" s="14" t="s">
        <v>22</v>
      </c>
      <c r="H85" s="14" t="s">
        <v>51</v>
      </c>
      <c r="I85" s="14" t="s">
        <v>13</v>
      </c>
      <c r="J85" s="15">
        <f>'Cleaned Data'!$D85*'Cleaned Data'!$E85</f>
        <v>2199.9920000000002</v>
      </c>
      <c r="K85" s="16" t="str">
        <f>IF('Cleaned Data'!$E85&gt;500,"High Quantity","Low Quantity")</f>
        <v>High Quantity</v>
      </c>
      <c r="L85" t="str">
        <f t="shared" si="1"/>
        <v>November</v>
      </c>
    </row>
    <row r="86" spans="1:12" x14ac:dyDescent="0.25">
      <c r="A86" s="9">
        <v>10544</v>
      </c>
      <c r="B86" s="31">
        <v>44890</v>
      </c>
      <c r="C86" s="10" t="s">
        <v>17</v>
      </c>
      <c r="D86" s="11">
        <v>4.99</v>
      </c>
      <c r="E86" s="10">
        <v>200.4</v>
      </c>
      <c r="F86" s="10" t="s">
        <v>40</v>
      </c>
      <c r="G86" s="10" t="s">
        <v>22</v>
      </c>
      <c r="H86" s="10" t="s">
        <v>51</v>
      </c>
      <c r="I86" s="10" t="s">
        <v>13</v>
      </c>
      <c r="J86" s="11">
        <f>'Cleaned Data'!$D86*'Cleaned Data'!$E86</f>
        <v>999.99600000000009</v>
      </c>
      <c r="K86" s="12" t="str">
        <f>IF('Cleaned Data'!$E86&gt;500,"High Quantity","Low Quantity")</f>
        <v>Low Quantity</v>
      </c>
      <c r="L86" t="str">
        <f t="shared" si="1"/>
        <v>November</v>
      </c>
    </row>
    <row r="87" spans="1:12" x14ac:dyDescent="0.25">
      <c r="A87" s="13">
        <v>10545</v>
      </c>
      <c r="B87" s="32">
        <v>44891</v>
      </c>
      <c r="C87" s="14" t="s">
        <v>21</v>
      </c>
      <c r="D87" s="15">
        <v>12.99</v>
      </c>
      <c r="E87" s="14">
        <v>446.5</v>
      </c>
      <c r="F87" s="14" t="s">
        <v>40</v>
      </c>
      <c r="G87" s="14" t="s">
        <v>22</v>
      </c>
      <c r="H87" s="14" t="s">
        <v>51</v>
      </c>
      <c r="I87" s="14" t="s">
        <v>13</v>
      </c>
      <c r="J87" s="15">
        <f>'Cleaned Data'!$D87*'Cleaned Data'!$E87</f>
        <v>5800.0349999999999</v>
      </c>
      <c r="K87" s="16" t="str">
        <f>IF('Cleaned Data'!$E87&gt;500,"High Quantity","Low Quantity")</f>
        <v>Low Quantity</v>
      </c>
      <c r="L87" t="str">
        <f t="shared" si="1"/>
        <v>November</v>
      </c>
    </row>
    <row r="88" spans="1:12" x14ac:dyDescent="0.25">
      <c r="A88" s="9">
        <v>10546</v>
      </c>
      <c r="B88" s="31">
        <v>44891</v>
      </c>
      <c r="C88" s="10" t="s">
        <v>25</v>
      </c>
      <c r="D88" s="11">
        <v>9.9499999999999993</v>
      </c>
      <c r="E88" s="10">
        <v>201.01</v>
      </c>
      <c r="F88" s="10" t="s">
        <v>40</v>
      </c>
      <c r="G88" s="10" t="s">
        <v>22</v>
      </c>
      <c r="H88" s="10" t="s">
        <v>51</v>
      </c>
      <c r="I88" s="10" t="s">
        <v>13</v>
      </c>
      <c r="J88" s="11">
        <f>'Cleaned Data'!$D88*'Cleaned Data'!$E88</f>
        <v>2000.0494999999999</v>
      </c>
      <c r="K88" s="12" t="str">
        <f>IF('Cleaned Data'!$E88&gt;500,"High Quantity","Low Quantity")</f>
        <v>Low Quantity</v>
      </c>
      <c r="L88" t="str">
        <f t="shared" si="1"/>
        <v>November</v>
      </c>
    </row>
    <row r="89" spans="1:12" x14ac:dyDescent="0.25">
      <c r="A89" s="13">
        <v>10547</v>
      </c>
      <c r="B89" s="32">
        <v>44891</v>
      </c>
      <c r="C89" s="14" t="s">
        <v>9</v>
      </c>
      <c r="D89" s="15">
        <v>3.49</v>
      </c>
      <c r="E89" s="14">
        <v>630.37</v>
      </c>
      <c r="F89" s="14" t="s">
        <v>40</v>
      </c>
      <c r="G89" s="14" t="s">
        <v>22</v>
      </c>
      <c r="H89" s="14" t="s">
        <v>51</v>
      </c>
      <c r="I89" s="14" t="s">
        <v>13</v>
      </c>
      <c r="J89" s="15">
        <f>'Cleaned Data'!$D89*'Cleaned Data'!$E89</f>
        <v>2199.9913000000001</v>
      </c>
      <c r="K89" s="16" t="str">
        <f>IF('Cleaned Data'!$E89&gt;500,"High Quantity","Low Quantity")</f>
        <v>High Quantity</v>
      </c>
      <c r="L89" t="str">
        <f t="shared" si="1"/>
        <v>November</v>
      </c>
    </row>
    <row r="90" spans="1:12" x14ac:dyDescent="0.25">
      <c r="A90" s="9">
        <v>10548</v>
      </c>
      <c r="B90" s="31">
        <v>44891</v>
      </c>
      <c r="C90" s="10" t="s">
        <v>14</v>
      </c>
      <c r="D90" s="11">
        <v>2.95</v>
      </c>
      <c r="E90" s="10">
        <v>745.76</v>
      </c>
      <c r="F90" s="10" t="s">
        <v>40</v>
      </c>
      <c r="G90" s="10" t="s">
        <v>22</v>
      </c>
      <c r="H90" s="10" t="s">
        <v>51</v>
      </c>
      <c r="I90" s="10" t="s">
        <v>13</v>
      </c>
      <c r="J90" s="11">
        <f>'Cleaned Data'!$D90*'Cleaned Data'!$E90</f>
        <v>2199.9920000000002</v>
      </c>
      <c r="K90" s="12" t="str">
        <f>IF('Cleaned Data'!$E90&gt;500,"High Quantity","Low Quantity")</f>
        <v>High Quantity</v>
      </c>
      <c r="L90" t="str">
        <f t="shared" si="1"/>
        <v>November</v>
      </c>
    </row>
    <row r="91" spans="1:12" x14ac:dyDescent="0.25">
      <c r="A91" s="13">
        <v>10549</v>
      </c>
      <c r="B91" s="32">
        <v>44891</v>
      </c>
      <c r="C91" s="14" t="s">
        <v>17</v>
      </c>
      <c r="D91" s="15">
        <v>4.99</v>
      </c>
      <c r="E91" s="14">
        <v>200.4</v>
      </c>
      <c r="F91" s="14" t="s">
        <v>40</v>
      </c>
      <c r="G91" s="14" t="s">
        <v>22</v>
      </c>
      <c r="H91" s="14" t="s">
        <v>51</v>
      </c>
      <c r="I91" s="14" t="s">
        <v>13</v>
      </c>
      <c r="J91" s="15">
        <f>'Cleaned Data'!$D91*'Cleaned Data'!$E91</f>
        <v>999.99600000000009</v>
      </c>
      <c r="K91" s="16" t="str">
        <f>IF('Cleaned Data'!$E91&gt;500,"High Quantity","Low Quantity")</f>
        <v>Low Quantity</v>
      </c>
      <c r="L91" t="str">
        <f t="shared" si="1"/>
        <v>November</v>
      </c>
    </row>
    <row r="92" spans="1:12" x14ac:dyDescent="0.25">
      <c r="A92" s="9">
        <v>10550</v>
      </c>
      <c r="B92" s="31">
        <v>44892</v>
      </c>
      <c r="C92" s="10" t="s">
        <v>21</v>
      </c>
      <c r="D92" s="11">
        <v>12.99</v>
      </c>
      <c r="E92" s="10">
        <v>461.89</v>
      </c>
      <c r="F92" s="10" t="s">
        <v>40</v>
      </c>
      <c r="G92" s="10" t="s">
        <v>22</v>
      </c>
      <c r="H92" s="10" t="s">
        <v>51</v>
      </c>
      <c r="I92" s="10" t="s">
        <v>13</v>
      </c>
      <c r="J92" s="11">
        <f>'Cleaned Data'!$D92*'Cleaned Data'!$E92</f>
        <v>5999.9511000000002</v>
      </c>
      <c r="K92" s="12" t="str">
        <f>IF('Cleaned Data'!$E92&gt;500,"High Quantity","Low Quantity")</f>
        <v>Low Quantity</v>
      </c>
      <c r="L92" t="str">
        <f t="shared" si="1"/>
        <v>November</v>
      </c>
    </row>
    <row r="93" spans="1:12" x14ac:dyDescent="0.25">
      <c r="A93" s="13">
        <v>10551</v>
      </c>
      <c r="B93" s="32">
        <v>44892</v>
      </c>
      <c r="C93" s="14" t="s">
        <v>25</v>
      </c>
      <c r="D93" s="15">
        <v>9.9499999999999993</v>
      </c>
      <c r="E93" s="14">
        <v>201.01</v>
      </c>
      <c r="F93" s="14" t="s">
        <v>40</v>
      </c>
      <c r="G93" s="14" t="s">
        <v>22</v>
      </c>
      <c r="H93" s="14" t="s">
        <v>51</v>
      </c>
      <c r="I93" s="14" t="s">
        <v>13</v>
      </c>
      <c r="J93" s="15">
        <f>'Cleaned Data'!$D93*'Cleaned Data'!$E93</f>
        <v>2000.0494999999999</v>
      </c>
      <c r="K93" s="16" t="str">
        <f>IF('Cleaned Data'!$E93&gt;500,"High Quantity","Low Quantity")</f>
        <v>Low Quantity</v>
      </c>
      <c r="L93" t="str">
        <f t="shared" si="1"/>
        <v>November</v>
      </c>
    </row>
    <row r="94" spans="1:12" x14ac:dyDescent="0.25">
      <c r="A94" s="9">
        <v>10552</v>
      </c>
      <c r="B94" s="31">
        <v>44892</v>
      </c>
      <c r="C94" s="10" t="s">
        <v>9</v>
      </c>
      <c r="D94" s="11">
        <v>3.49</v>
      </c>
      <c r="E94" s="10">
        <v>630.37</v>
      </c>
      <c r="F94" s="10" t="s">
        <v>10</v>
      </c>
      <c r="G94" s="10" t="s">
        <v>22</v>
      </c>
      <c r="H94" s="10" t="s">
        <v>51</v>
      </c>
      <c r="I94" s="10" t="s">
        <v>13</v>
      </c>
      <c r="J94" s="11">
        <f>'Cleaned Data'!$D94*'Cleaned Data'!$E94</f>
        <v>2199.9913000000001</v>
      </c>
      <c r="K94" s="12" t="str">
        <f>IF('Cleaned Data'!$E94&gt;500,"High Quantity","Low Quantity")</f>
        <v>High Quantity</v>
      </c>
      <c r="L94" t="str">
        <f t="shared" si="1"/>
        <v>November</v>
      </c>
    </row>
    <row r="95" spans="1:12" x14ac:dyDescent="0.25">
      <c r="A95" s="13">
        <v>10553</v>
      </c>
      <c r="B95" s="32">
        <v>44892</v>
      </c>
      <c r="C95" s="14" t="s">
        <v>14</v>
      </c>
      <c r="D95" s="15">
        <v>2.95</v>
      </c>
      <c r="E95" s="14">
        <v>745.76</v>
      </c>
      <c r="F95" s="14" t="s">
        <v>10</v>
      </c>
      <c r="G95" s="14" t="s">
        <v>22</v>
      </c>
      <c r="H95" s="14" t="s">
        <v>51</v>
      </c>
      <c r="I95" s="14" t="s">
        <v>13</v>
      </c>
      <c r="J95" s="15">
        <f>'Cleaned Data'!$D95*'Cleaned Data'!$E95</f>
        <v>2199.9920000000002</v>
      </c>
      <c r="K95" s="16" t="str">
        <f>IF('Cleaned Data'!$E95&gt;500,"High Quantity","Low Quantity")</f>
        <v>High Quantity</v>
      </c>
      <c r="L95" t="str">
        <f t="shared" si="1"/>
        <v>November</v>
      </c>
    </row>
    <row r="96" spans="1:12" x14ac:dyDescent="0.25">
      <c r="A96" s="9">
        <v>10554</v>
      </c>
      <c r="B96" s="31">
        <v>44892</v>
      </c>
      <c r="C96" s="10" t="s">
        <v>17</v>
      </c>
      <c r="D96" s="11">
        <v>4.99</v>
      </c>
      <c r="E96" s="10">
        <v>200.4</v>
      </c>
      <c r="F96" s="10" t="s">
        <v>10</v>
      </c>
      <c r="G96" s="10" t="s">
        <v>22</v>
      </c>
      <c r="H96" s="10" t="s">
        <v>51</v>
      </c>
      <c r="I96" s="10" t="s">
        <v>13</v>
      </c>
      <c r="J96" s="11">
        <f>'Cleaned Data'!$D96*'Cleaned Data'!$E96</f>
        <v>999.99600000000009</v>
      </c>
      <c r="K96" s="12" t="str">
        <f>IF('Cleaned Data'!$E96&gt;500,"High Quantity","Low Quantity")</f>
        <v>Low Quantity</v>
      </c>
      <c r="L96" t="str">
        <f t="shared" si="1"/>
        <v>November</v>
      </c>
    </row>
    <row r="97" spans="1:12" x14ac:dyDescent="0.25">
      <c r="A97" s="13">
        <v>10555</v>
      </c>
      <c r="B97" s="32">
        <v>44893</v>
      </c>
      <c r="C97" s="14" t="s">
        <v>21</v>
      </c>
      <c r="D97" s="15">
        <v>12.99</v>
      </c>
      <c r="E97" s="14">
        <v>477.29</v>
      </c>
      <c r="F97" s="14" t="s">
        <v>10</v>
      </c>
      <c r="G97" s="14" t="s">
        <v>22</v>
      </c>
      <c r="H97" s="14" t="s">
        <v>51</v>
      </c>
      <c r="I97" s="14" t="s">
        <v>13</v>
      </c>
      <c r="J97" s="15">
        <f>'Cleaned Data'!$D97*'Cleaned Data'!$E97</f>
        <v>6199.9971000000005</v>
      </c>
      <c r="K97" s="16" t="str">
        <f>IF('Cleaned Data'!$E97&gt;500,"High Quantity","Low Quantity")</f>
        <v>Low Quantity</v>
      </c>
      <c r="L97" t="str">
        <f t="shared" si="1"/>
        <v>November</v>
      </c>
    </row>
    <row r="98" spans="1:12" x14ac:dyDescent="0.25">
      <c r="A98" s="9">
        <v>10556</v>
      </c>
      <c r="B98" s="31">
        <v>44893</v>
      </c>
      <c r="C98" s="10" t="s">
        <v>25</v>
      </c>
      <c r="D98" s="11">
        <v>9.9499999999999993</v>
      </c>
      <c r="E98" s="10">
        <v>201.01</v>
      </c>
      <c r="F98" s="10" t="s">
        <v>10</v>
      </c>
      <c r="G98" s="10" t="s">
        <v>22</v>
      </c>
      <c r="H98" s="10" t="s">
        <v>51</v>
      </c>
      <c r="I98" s="10" t="s">
        <v>13</v>
      </c>
      <c r="J98" s="11">
        <f>'Cleaned Data'!$D98*'Cleaned Data'!$E98</f>
        <v>2000.0494999999999</v>
      </c>
      <c r="K98" s="12" t="str">
        <f>IF('Cleaned Data'!$E98&gt;500,"High Quantity","Low Quantity")</f>
        <v>Low Quantity</v>
      </c>
      <c r="L98" t="str">
        <f t="shared" si="1"/>
        <v>November</v>
      </c>
    </row>
    <row r="99" spans="1:12" x14ac:dyDescent="0.25">
      <c r="A99" s="13">
        <v>10557</v>
      </c>
      <c r="B99" s="32">
        <v>44893</v>
      </c>
      <c r="C99" s="14" t="s">
        <v>9</v>
      </c>
      <c r="D99" s="15">
        <v>3.49</v>
      </c>
      <c r="E99" s="14">
        <v>630.37</v>
      </c>
      <c r="F99" s="14" t="s">
        <v>10</v>
      </c>
      <c r="G99" s="14" t="s">
        <v>22</v>
      </c>
      <c r="H99" s="14" t="s">
        <v>51</v>
      </c>
      <c r="I99" s="14" t="s">
        <v>13</v>
      </c>
      <c r="J99" s="15">
        <f>'Cleaned Data'!$D99*'Cleaned Data'!$E99</f>
        <v>2199.9913000000001</v>
      </c>
      <c r="K99" s="16" t="str">
        <f>IF('Cleaned Data'!$E99&gt;500,"High Quantity","Low Quantity")</f>
        <v>High Quantity</v>
      </c>
      <c r="L99" t="str">
        <f t="shared" si="1"/>
        <v>November</v>
      </c>
    </row>
    <row r="100" spans="1:12" x14ac:dyDescent="0.25">
      <c r="A100" s="9">
        <v>10558</v>
      </c>
      <c r="B100" s="31">
        <v>44893</v>
      </c>
      <c r="C100" s="10" t="s">
        <v>14</v>
      </c>
      <c r="D100" s="11">
        <v>2.95</v>
      </c>
      <c r="E100" s="10">
        <v>677.97</v>
      </c>
      <c r="F100" s="10" t="s">
        <v>10</v>
      </c>
      <c r="G100" s="10" t="s">
        <v>22</v>
      </c>
      <c r="H100" s="10" t="s">
        <v>51</v>
      </c>
      <c r="I100" s="10" t="s">
        <v>13</v>
      </c>
      <c r="J100" s="11">
        <f>'Cleaned Data'!$D100*'Cleaned Data'!$E100</f>
        <v>2000.0115000000003</v>
      </c>
      <c r="K100" s="12" t="str">
        <f>IF('Cleaned Data'!$E100&gt;500,"High Quantity","Low Quantity")</f>
        <v>High Quantity</v>
      </c>
      <c r="L100" t="str">
        <f t="shared" si="1"/>
        <v>November</v>
      </c>
    </row>
    <row r="101" spans="1:12" x14ac:dyDescent="0.25">
      <c r="A101" s="13">
        <v>10559</v>
      </c>
      <c r="B101" s="32">
        <v>44893</v>
      </c>
      <c r="C101" s="14" t="s">
        <v>17</v>
      </c>
      <c r="D101" s="15">
        <v>4.99</v>
      </c>
      <c r="E101" s="14">
        <v>200.4</v>
      </c>
      <c r="F101" s="14" t="s">
        <v>10</v>
      </c>
      <c r="G101" s="14" t="s">
        <v>22</v>
      </c>
      <c r="H101" s="14" t="s">
        <v>51</v>
      </c>
      <c r="I101" s="14" t="s">
        <v>13</v>
      </c>
      <c r="J101" s="15">
        <f>'Cleaned Data'!$D101*'Cleaned Data'!$E101</f>
        <v>999.99600000000009</v>
      </c>
      <c r="K101" s="16" t="str">
        <f>IF('Cleaned Data'!$E101&gt;500,"High Quantity","Low Quantity")</f>
        <v>Low Quantity</v>
      </c>
      <c r="L101" t="str">
        <f t="shared" si="1"/>
        <v>November</v>
      </c>
    </row>
    <row r="102" spans="1:12" x14ac:dyDescent="0.25">
      <c r="A102" s="9">
        <v>10560</v>
      </c>
      <c r="B102" s="31">
        <v>44894</v>
      </c>
      <c r="C102" s="10" t="s">
        <v>21</v>
      </c>
      <c r="D102" s="11">
        <v>12.99</v>
      </c>
      <c r="E102" s="10">
        <v>477.29</v>
      </c>
      <c r="F102" s="10" t="s">
        <v>10</v>
      </c>
      <c r="G102" s="10" t="s">
        <v>22</v>
      </c>
      <c r="H102" s="10" t="s">
        <v>51</v>
      </c>
      <c r="I102" s="10" t="s">
        <v>13</v>
      </c>
      <c r="J102" s="11">
        <f>'Cleaned Data'!$D102*'Cleaned Data'!$E102</f>
        <v>6199.9971000000005</v>
      </c>
      <c r="K102" s="12" t="str">
        <f>IF('Cleaned Data'!$E102&gt;500,"High Quantity","Low Quantity")</f>
        <v>Low Quantity</v>
      </c>
      <c r="L102" t="str">
        <f t="shared" si="1"/>
        <v>November</v>
      </c>
    </row>
    <row r="103" spans="1:12" x14ac:dyDescent="0.25">
      <c r="A103" s="13">
        <v>10561</v>
      </c>
      <c r="B103" s="32">
        <v>44894</v>
      </c>
      <c r="C103" s="14" t="s">
        <v>25</v>
      </c>
      <c r="D103" s="15">
        <v>9.9499999999999993</v>
      </c>
      <c r="E103" s="14">
        <v>201.01</v>
      </c>
      <c r="F103" s="14" t="s">
        <v>10</v>
      </c>
      <c r="G103" s="14" t="s">
        <v>22</v>
      </c>
      <c r="H103" s="14" t="s">
        <v>51</v>
      </c>
      <c r="I103" s="14" t="s">
        <v>13</v>
      </c>
      <c r="J103" s="15">
        <f>'Cleaned Data'!$D103*'Cleaned Data'!$E103</f>
        <v>2000.0494999999999</v>
      </c>
      <c r="K103" s="16" t="str">
        <f>IF('Cleaned Data'!$E103&gt;500,"High Quantity","Low Quantity")</f>
        <v>Low Quantity</v>
      </c>
      <c r="L103" t="str">
        <f t="shared" si="1"/>
        <v>November</v>
      </c>
    </row>
    <row r="104" spans="1:12" x14ac:dyDescent="0.25">
      <c r="A104" s="9">
        <v>10562</v>
      </c>
      <c r="B104" s="31">
        <v>44894</v>
      </c>
      <c r="C104" s="10" t="s">
        <v>9</v>
      </c>
      <c r="D104" s="11">
        <v>3.49</v>
      </c>
      <c r="E104" s="10">
        <v>630.37</v>
      </c>
      <c r="F104" s="10" t="s">
        <v>10</v>
      </c>
      <c r="G104" s="10" t="s">
        <v>22</v>
      </c>
      <c r="H104" s="10" t="s">
        <v>51</v>
      </c>
      <c r="I104" s="10" t="s">
        <v>13</v>
      </c>
      <c r="J104" s="11">
        <f>'Cleaned Data'!$D104*'Cleaned Data'!$E104</f>
        <v>2199.9913000000001</v>
      </c>
      <c r="K104" s="12" t="str">
        <f>IF('Cleaned Data'!$E104&gt;500,"High Quantity","Low Quantity")</f>
        <v>High Quantity</v>
      </c>
      <c r="L104" t="str">
        <f t="shared" si="1"/>
        <v>November</v>
      </c>
    </row>
    <row r="105" spans="1:12" x14ac:dyDescent="0.25">
      <c r="A105" s="13">
        <v>10563</v>
      </c>
      <c r="B105" s="32">
        <v>44894</v>
      </c>
      <c r="C105" s="14" t="s">
        <v>14</v>
      </c>
      <c r="D105" s="15">
        <v>2.95</v>
      </c>
      <c r="E105" s="14">
        <v>677.97</v>
      </c>
      <c r="F105" s="14" t="s">
        <v>10</v>
      </c>
      <c r="G105" s="14" t="s">
        <v>22</v>
      </c>
      <c r="H105" s="14" t="s">
        <v>51</v>
      </c>
      <c r="I105" s="14" t="s">
        <v>13</v>
      </c>
      <c r="J105" s="15">
        <f>'Cleaned Data'!$D105*'Cleaned Data'!$E105</f>
        <v>2000.0115000000003</v>
      </c>
      <c r="K105" s="16" t="str">
        <f>IF('Cleaned Data'!$E105&gt;500,"High Quantity","Low Quantity")</f>
        <v>High Quantity</v>
      </c>
      <c r="L105" t="str">
        <f t="shared" si="1"/>
        <v>November</v>
      </c>
    </row>
    <row r="106" spans="1:12" x14ac:dyDescent="0.25">
      <c r="A106" s="9">
        <v>10564</v>
      </c>
      <c r="B106" s="31">
        <v>44894</v>
      </c>
      <c r="C106" s="10" t="s">
        <v>17</v>
      </c>
      <c r="D106" s="11">
        <v>4.99</v>
      </c>
      <c r="E106" s="10">
        <v>200.4</v>
      </c>
      <c r="F106" s="10" t="s">
        <v>10</v>
      </c>
      <c r="G106" s="10" t="s">
        <v>22</v>
      </c>
      <c r="H106" s="10" t="s">
        <v>51</v>
      </c>
      <c r="I106" s="10" t="s">
        <v>13</v>
      </c>
      <c r="J106" s="11">
        <f>'Cleaned Data'!$D106*'Cleaned Data'!$E106</f>
        <v>999.99600000000009</v>
      </c>
      <c r="K106" s="12" t="str">
        <f>IF('Cleaned Data'!$E106&gt;500,"High Quantity","Low Quantity")</f>
        <v>Low Quantity</v>
      </c>
      <c r="L106" t="str">
        <f t="shared" si="1"/>
        <v>November</v>
      </c>
    </row>
    <row r="107" spans="1:12" x14ac:dyDescent="0.25">
      <c r="A107" s="13">
        <v>10565</v>
      </c>
      <c r="B107" s="32">
        <v>44895</v>
      </c>
      <c r="C107" s="14" t="s">
        <v>21</v>
      </c>
      <c r="D107" s="15">
        <v>12.99</v>
      </c>
      <c r="E107" s="14">
        <v>492.69</v>
      </c>
      <c r="F107" s="14" t="s">
        <v>10</v>
      </c>
      <c r="G107" s="14" t="s">
        <v>22</v>
      </c>
      <c r="H107" s="14" t="s">
        <v>51</v>
      </c>
      <c r="I107" s="14" t="s">
        <v>13</v>
      </c>
      <c r="J107" s="15">
        <f>'Cleaned Data'!$D107*'Cleaned Data'!$E107</f>
        <v>6400.0430999999999</v>
      </c>
      <c r="K107" s="16" t="str">
        <f>IF('Cleaned Data'!$E107&gt;500,"High Quantity","Low Quantity")</f>
        <v>Low Quantity</v>
      </c>
      <c r="L107" t="str">
        <f t="shared" si="1"/>
        <v>November</v>
      </c>
    </row>
    <row r="108" spans="1:12" x14ac:dyDescent="0.25">
      <c r="A108" s="9">
        <v>10566</v>
      </c>
      <c r="B108" s="31">
        <v>44895</v>
      </c>
      <c r="C108" s="10" t="s">
        <v>25</v>
      </c>
      <c r="D108" s="11">
        <v>9.9499999999999993</v>
      </c>
      <c r="E108" s="10">
        <v>201.01</v>
      </c>
      <c r="F108" s="10" t="s">
        <v>10</v>
      </c>
      <c r="G108" s="10" t="s">
        <v>22</v>
      </c>
      <c r="H108" s="10" t="s">
        <v>51</v>
      </c>
      <c r="I108" s="10" t="s">
        <v>13</v>
      </c>
      <c r="J108" s="11">
        <f>'Cleaned Data'!$D108*'Cleaned Data'!$E108</f>
        <v>2000.0494999999999</v>
      </c>
      <c r="K108" s="12" t="str">
        <f>IF('Cleaned Data'!$E108&gt;500,"High Quantity","Low Quantity")</f>
        <v>Low Quantity</v>
      </c>
      <c r="L108" t="str">
        <f t="shared" si="1"/>
        <v>November</v>
      </c>
    </row>
    <row r="109" spans="1:12" x14ac:dyDescent="0.25">
      <c r="A109" s="13">
        <v>10567</v>
      </c>
      <c r="B109" s="32">
        <v>44895</v>
      </c>
      <c r="C109" s="14" t="s">
        <v>9</v>
      </c>
      <c r="D109" s="15">
        <v>3.49</v>
      </c>
      <c r="E109" s="14">
        <v>630.37</v>
      </c>
      <c r="F109" s="14" t="s">
        <v>10</v>
      </c>
      <c r="G109" s="14" t="s">
        <v>22</v>
      </c>
      <c r="H109" s="14" t="s">
        <v>51</v>
      </c>
      <c r="I109" s="14" t="s">
        <v>13</v>
      </c>
      <c r="J109" s="15">
        <f>'Cleaned Data'!$D109*'Cleaned Data'!$E109</f>
        <v>2199.9913000000001</v>
      </c>
      <c r="K109" s="16" t="str">
        <f>IF('Cleaned Data'!$E109&gt;500,"High Quantity","Low Quantity")</f>
        <v>High Quantity</v>
      </c>
      <c r="L109" t="str">
        <f t="shared" si="1"/>
        <v>November</v>
      </c>
    </row>
    <row r="110" spans="1:12" x14ac:dyDescent="0.25">
      <c r="A110" s="9">
        <v>10568</v>
      </c>
      <c r="B110" s="31">
        <v>44895</v>
      </c>
      <c r="C110" s="10" t="s">
        <v>14</v>
      </c>
      <c r="D110" s="11">
        <v>2.95</v>
      </c>
      <c r="E110" s="10">
        <v>677.97</v>
      </c>
      <c r="F110" s="10" t="s">
        <v>10</v>
      </c>
      <c r="G110" s="10" t="s">
        <v>22</v>
      </c>
      <c r="H110" s="10" t="s">
        <v>51</v>
      </c>
      <c r="I110" s="10" t="s">
        <v>13</v>
      </c>
      <c r="J110" s="11">
        <f>'Cleaned Data'!$D110*'Cleaned Data'!$E110</f>
        <v>2000.0115000000003</v>
      </c>
      <c r="K110" s="12" t="str">
        <f>IF('Cleaned Data'!$E110&gt;500,"High Quantity","Low Quantity")</f>
        <v>High Quantity</v>
      </c>
      <c r="L110" t="str">
        <f t="shared" si="1"/>
        <v>November</v>
      </c>
    </row>
    <row r="111" spans="1:12" x14ac:dyDescent="0.25">
      <c r="A111" s="13">
        <v>10569</v>
      </c>
      <c r="B111" s="32">
        <v>44895</v>
      </c>
      <c r="C111" s="14" t="s">
        <v>17</v>
      </c>
      <c r="D111" s="15">
        <v>4.99</v>
      </c>
      <c r="E111" s="14">
        <v>200.4</v>
      </c>
      <c r="F111" s="14" t="s">
        <v>10</v>
      </c>
      <c r="G111" s="14" t="s">
        <v>22</v>
      </c>
      <c r="H111" s="14" t="s">
        <v>51</v>
      </c>
      <c r="I111" s="14" t="s">
        <v>13</v>
      </c>
      <c r="J111" s="15">
        <f>'Cleaned Data'!$D111*'Cleaned Data'!$E111</f>
        <v>999.99600000000009</v>
      </c>
      <c r="K111" s="16" t="str">
        <f>IF('Cleaned Data'!$E111&gt;500,"High Quantity","Low Quantity")</f>
        <v>Low Quantity</v>
      </c>
      <c r="L111" t="str">
        <f t="shared" si="1"/>
        <v>November</v>
      </c>
    </row>
    <row r="112" spans="1:12" x14ac:dyDescent="0.25">
      <c r="A112" s="9">
        <v>10570</v>
      </c>
      <c r="B112" s="31">
        <v>44896</v>
      </c>
      <c r="C112" s="10" t="s">
        <v>21</v>
      </c>
      <c r="D112" s="11">
        <v>12.99</v>
      </c>
      <c r="E112" s="10">
        <v>492.69</v>
      </c>
      <c r="F112" s="10" t="s">
        <v>10</v>
      </c>
      <c r="G112" s="10" t="s">
        <v>22</v>
      </c>
      <c r="H112" s="10" t="s">
        <v>51</v>
      </c>
      <c r="I112" s="10" t="s">
        <v>13</v>
      </c>
      <c r="J112" s="11">
        <f>'Cleaned Data'!$D112*'Cleaned Data'!$E112</f>
        <v>6400.0430999999999</v>
      </c>
      <c r="K112" s="12" t="str">
        <f>IF('Cleaned Data'!$E112&gt;500,"High Quantity","Low Quantity")</f>
        <v>Low Quantity</v>
      </c>
      <c r="L112" t="str">
        <f t="shared" si="1"/>
        <v>December</v>
      </c>
    </row>
    <row r="113" spans="1:12" x14ac:dyDescent="0.25">
      <c r="A113" s="13">
        <v>10571</v>
      </c>
      <c r="B113" s="32">
        <v>44896</v>
      </c>
      <c r="C113" s="14" t="s">
        <v>25</v>
      </c>
      <c r="D113" s="15">
        <v>9.9499999999999993</v>
      </c>
      <c r="E113" s="14">
        <v>201.01</v>
      </c>
      <c r="F113" s="14" t="s">
        <v>10</v>
      </c>
      <c r="G113" s="14" t="s">
        <v>22</v>
      </c>
      <c r="H113" s="14" t="s">
        <v>51</v>
      </c>
      <c r="I113" s="14" t="s">
        <v>13</v>
      </c>
      <c r="J113" s="15">
        <f>'Cleaned Data'!$D113*'Cleaned Data'!$E113</f>
        <v>2000.0494999999999</v>
      </c>
      <c r="K113" s="16" t="str">
        <f>IF('Cleaned Data'!$E113&gt;500,"High Quantity","Low Quantity")</f>
        <v>Low Quantity</v>
      </c>
      <c r="L113" t="str">
        <f t="shared" si="1"/>
        <v>December</v>
      </c>
    </row>
    <row r="114" spans="1:12" x14ac:dyDescent="0.25">
      <c r="A114" s="9">
        <v>10572</v>
      </c>
      <c r="B114" s="31">
        <v>44896</v>
      </c>
      <c r="C114" s="10" t="s">
        <v>9</v>
      </c>
      <c r="D114" s="11">
        <v>3.49</v>
      </c>
      <c r="E114" s="10">
        <v>573.07000000000005</v>
      </c>
      <c r="F114" s="10" t="s">
        <v>10</v>
      </c>
      <c r="G114" s="10" t="s">
        <v>22</v>
      </c>
      <c r="H114" s="10" t="s">
        <v>28</v>
      </c>
      <c r="I114" s="10" t="s">
        <v>27</v>
      </c>
      <c r="J114" s="11">
        <f>'Cleaned Data'!$D114*'Cleaned Data'!$E114</f>
        <v>2000.0143000000003</v>
      </c>
      <c r="K114" s="12" t="str">
        <f>IF('Cleaned Data'!$E114&gt;500,"High Quantity","Low Quantity")</f>
        <v>High Quantity</v>
      </c>
      <c r="L114" t="str">
        <f t="shared" si="1"/>
        <v>December</v>
      </c>
    </row>
    <row r="115" spans="1:12" x14ac:dyDescent="0.25">
      <c r="A115" s="13">
        <v>10573</v>
      </c>
      <c r="B115" s="32">
        <v>44896</v>
      </c>
      <c r="C115" s="14" t="s">
        <v>14</v>
      </c>
      <c r="D115" s="15">
        <v>2.95</v>
      </c>
      <c r="E115" s="14">
        <v>677.97</v>
      </c>
      <c r="F115" s="14" t="s">
        <v>10</v>
      </c>
      <c r="G115" s="14" t="s">
        <v>22</v>
      </c>
      <c r="H115" s="14" t="s">
        <v>28</v>
      </c>
      <c r="I115" s="14" t="s">
        <v>27</v>
      </c>
      <c r="J115" s="15">
        <f>'Cleaned Data'!$D115*'Cleaned Data'!$E115</f>
        <v>2000.0115000000003</v>
      </c>
      <c r="K115" s="16" t="str">
        <f>IF('Cleaned Data'!$E115&gt;500,"High Quantity","Low Quantity")</f>
        <v>High Quantity</v>
      </c>
      <c r="L115" t="str">
        <f t="shared" si="1"/>
        <v>December</v>
      </c>
    </row>
    <row r="116" spans="1:12" x14ac:dyDescent="0.25">
      <c r="A116" s="9">
        <v>10574</v>
      </c>
      <c r="B116" s="31">
        <v>44896</v>
      </c>
      <c r="C116" s="10" t="s">
        <v>17</v>
      </c>
      <c r="D116" s="11">
        <v>4.99</v>
      </c>
      <c r="E116" s="10">
        <v>200.4</v>
      </c>
      <c r="F116" s="10" t="s">
        <v>10</v>
      </c>
      <c r="G116" s="10" t="s">
        <v>22</v>
      </c>
      <c r="H116" s="10" t="s">
        <v>28</v>
      </c>
      <c r="I116" s="10" t="s">
        <v>27</v>
      </c>
      <c r="J116" s="11">
        <f>'Cleaned Data'!$D116*'Cleaned Data'!$E116</f>
        <v>999.99600000000009</v>
      </c>
      <c r="K116" s="12" t="str">
        <f>IF('Cleaned Data'!$E116&gt;500,"High Quantity","Low Quantity")</f>
        <v>Low Quantity</v>
      </c>
      <c r="L116" t="str">
        <f t="shared" si="1"/>
        <v>December</v>
      </c>
    </row>
    <row r="117" spans="1:12" x14ac:dyDescent="0.25">
      <c r="A117" s="13">
        <v>10575</v>
      </c>
      <c r="B117" s="32">
        <v>44897</v>
      </c>
      <c r="C117" s="14" t="s">
        <v>21</v>
      </c>
      <c r="D117" s="15">
        <v>12.99</v>
      </c>
      <c r="E117" s="14">
        <v>523.48</v>
      </c>
      <c r="F117" s="14" t="s">
        <v>10</v>
      </c>
      <c r="G117" s="14" t="s">
        <v>22</v>
      </c>
      <c r="H117" s="14" t="s">
        <v>28</v>
      </c>
      <c r="I117" s="14" t="s">
        <v>27</v>
      </c>
      <c r="J117" s="15">
        <f>'Cleaned Data'!$D117*'Cleaned Data'!$E117</f>
        <v>6800.0052000000005</v>
      </c>
      <c r="K117" s="16" t="str">
        <f>IF('Cleaned Data'!$E117&gt;500,"High Quantity","Low Quantity")</f>
        <v>High Quantity</v>
      </c>
      <c r="L117" t="str">
        <f t="shared" si="1"/>
        <v>December</v>
      </c>
    </row>
    <row r="118" spans="1:12" x14ac:dyDescent="0.25">
      <c r="A118" s="9">
        <v>10576</v>
      </c>
      <c r="B118" s="31">
        <v>44897</v>
      </c>
      <c r="C118" s="10" t="s">
        <v>25</v>
      </c>
      <c r="D118" s="11">
        <v>9.9499999999999993</v>
      </c>
      <c r="E118" s="10">
        <v>201.01</v>
      </c>
      <c r="F118" s="10" t="s">
        <v>10</v>
      </c>
      <c r="G118" s="10" t="s">
        <v>22</v>
      </c>
      <c r="H118" s="10" t="s">
        <v>28</v>
      </c>
      <c r="I118" s="10" t="s">
        <v>27</v>
      </c>
      <c r="J118" s="11">
        <f>'Cleaned Data'!$D118*'Cleaned Data'!$E118</f>
        <v>2000.0494999999999</v>
      </c>
      <c r="K118" s="12" t="str">
        <f>IF('Cleaned Data'!$E118&gt;500,"High Quantity","Low Quantity")</f>
        <v>Low Quantity</v>
      </c>
      <c r="L118" t="str">
        <f t="shared" si="1"/>
        <v>December</v>
      </c>
    </row>
    <row r="119" spans="1:12" x14ac:dyDescent="0.25">
      <c r="A119" s="13">
        <v>10577</v>
      </c>
      <c r="B119" s="32">
        <v>44897</v>
      </c>
      <c r="C119" s="14" t="s">
        <v>9</v>
      </c>
      <c r="D119" s="15">
        <v>3.49</v>
      </c>
      <c r="E119" s="14">
        <v>630.37</v>
      </c>
      <c r="F119" s="14" t="s">
        <v>10</v>
      </c>
      <c r="G119" s="14" t="s">
        <v>22</v>
      </c>
      <c r="H119" s="14" t="s">
        <v>28</v>
      </c>
      <c r="I119" s="14" t="s">
        <v>27</v>
      </c>
      <c r="J119" s="15">
        <f>'Cleaned Data'!$D119*'Cleaned Data'!$E119</f>
        <v>2199.9913000000001</v>
      </c>
      <c r="K119" s="16" t="str">
        <f>IF('Cleaned Data'!$E119&gt;500,"High Quantity","Low Quantity")</f>
        <v>High Quantity</v>
      </c>
      <c r="L119" t="str">
        <f t="shared" si="1"/>
        <v>December</v>
      </c>
    </row>
    <row r="120" spans="1:12" x14ac:dyDescent="0.25">
      <c r="A120" s="9">
        <v>10578</v>
      </c>
      <c r="B120" s="31">
        <v>44897</v>
      </c>
      <c r="C120" s="10" t="s">
        <v>14</v>
      </c>
      <c r="D120" s="11">
        <v>2.95</v>
      </c>
      <c r="E120" s="10">
        <v>677.97</v>
      </c>
      <c r="F120" s="10" t="s">
        <v>10</v>
      </c>
      <c r="G120" s="10" t="s">
        <v>22</v>
      </c>
      <c r="H120" s="10" t="s">
        <v>28</v>
      </c>
      <c r="I120" s="10" t="s">
        <v>27</v>
      </c>
      <c r="J120" s="11">
        <f>'Cleaned Data'!$D120*'Cleaned Data'!$E120</f>
        <v>2000.0115000000003</v>
      </c>
      <c r="K120" s="12" t="str">
        <f>IF('Cleaned Data'!$E120&gt;500,"High Quantity","Low Quantity")</f>
        <v>High Quantity</v>
      </c>
      <c r="L120" t="str">
        <f t="shared" si="1"/>
        <v>December</v>
      </c>
    </row>
    <row r="121" spans="1:12" x14ac:dyDescent="0.25">
      <c r="A121" s="13">
        <v>10579</v>
      </c>
      <c r="B121" s="32">
        <v>44897</v>
      </c>
      <c r="C121" s="14" t="s">
        <v>17</v>
      </c>
      <c r="D121" s="15">
        <v>4.99</v>
      </c>
      <c r="E121" s="14">
        <v>200.4</v>
      </c>
      <c r="F121" s="14" t="s">
        <v>10</v>
      </c>
      <c r="G121" s="14" t="s">
        <v>22</v>
      </c>
      <c r="H121" s="14" t="s">
        <v>28</v>
      </c>
      <c r="I121" s="14" t="s">
        <v>27</v>
      </c>
      <c r="J121" s="15">
        <f>'Cleaned Data'!$D121*'Cleaned Data'!$E121</f>
        <v>999.99600000000009</v>
      </c>
      <c r="K121" s="16" t="str">
        <f>IF('Cleaned Data'!$E121&gt;500,"High Quantity","Low Quantity")</f>
        <v>Low Quantity</v>
      </c>
      <c r="L121" t="str">
        <f t="shared" si="1"/>
        <v>December</v>
      </c>
    </row>
    <row r="122" spans="1:12" x14ac:dyDescent="0.25">
      <c r="A122" s="9">
        <v>10580</v>
      </c>
      <c r="B122" s="31">
        <v>44898</v>
      </c>
      <c r="C122" s="10" t="s">
        <v>21</v>
      </c>
      <c r="D122" s="11">
        <v>12.99</v>
      </c>
      <c r="E122" s="10">
        <v>523.48</v>
      </c>
      <c r="F122" s="10" t="s">
        <v>10</v>
      </c>
      <c r="G122" s="10" t="s">
        <v>22</v>
      </c>
      <c r="H122" s="10" t="s">
        <v>28</v>
      </c>
      <c r="I122" s="10" t="s">
        <v>27</v>
      </c>
      <c r="J122" s="11">
        <f>'Cleaned Data'!$D122*'Cleaned Data'!$E122</f>
        <v>6800.0052000000005</v>
      </c>
      <c r="K122" s="12" t="str">
        <f>IF('Cleaned Data'!$E122&gt;500,"High Quantity","Low Quantity")</f>
        <v>High Quantity</v>
      </c>
      <c r="L122" t="str">
        <f t="shared" si="1"/>
        <v>December</v>
      </c>
    </row>
    <row r="123" spans="1:12" x14ac:dyDescent="0.25">
      <c r="A123" s="13">
        <v>10581</v>
      </c>
      <c r="B123" s="32">
        <v>44898</v>
      </c>
      <c r="C123" s="14" t="s">
        <v>25</v>
      </c>
      <c r="D123" s="15">
        <v>9.9499999999999993</v>
      </c>
      <c r="E123" s="14">
        <v>201.01</v>
      </c>
      <c r="F123" s="14" t="s">
        <v>10</v>
      </c>
      <c r="G123" s="14" t="s">
        <v>22</v>
      </c>
      <c r="H123" s="14" t="s">
        <v>28</v>
      </c>
      <c r="I123" s="14" t="s">
        <v>27</v>
      </c>
      <c r="J123" s="15">
        <f>'Cleaned Data'!$D123*'Cleaned Data'!$E123</f>
        <v>2000.0494999999999</v>
      </c>
      <c r="K123" s="16" t="str">
        <f>IF('Cleaned Data'!$E123&gt;500,"High Quantity","Low Quantity")</f>
        <v>Low Quantity</v>
      </c>
      <c r="L123" t="str">
        <f t="shared" si="1"/>
        <v>December</v>
      </c>
    </row>
    <row r="124" spans="1:12" x14ac:dyDescent="0.25">
      <c r="A124" s="9">
        <v>10582</v>
      </c>
      <c r="B124" s="31">
        <v>44898</v>
      </c>
      <c r="C124" s="10" t="s">
        <v>9</v>
      </c>
      <c r="D124" s="11">
        <v>3.49</v>
      </c>
      <c r="E124" s="10">
        <v>630.37</v>
      </c>
      <c r="F124" s="10" t="s">
        <v>10</v>
      </c>
      <c r="G124" s="10" t="s">
        <v>22</v>
      </c>
      <c r="H124" s="10" t="s">
        <v>51</v>
      </c>
      <c r="I124" s="10" t="s">
        <v>13</v>
      </c>
      <c r="J124" s="11">
        <f>'Cleaned Data'!$D124*'Cleaned Data'!$E124</f>
        <v>2199.9913000000001</v>
      </c>
      <c r="K124" s="12" t="str">
        <f>IF('Cleaned Data'!$E124&gt;500,"High Quantity","Low Quantity")</f>
        <v>High Quantity</v>
      </c>
      <c r="L124" t="str">
        <f t="shared" si="1"/>
        <v>December</v>
      </c>
    </row>
    <row r="125" spans="1:12" x14ac:dyDescent="0.25">
      <c r="A125" s="13">
        <v>10583</v>
      </c>
      <c r="B125" s="32">
        <v>44898</v>
      </c>
      <c r="C125" s="14" t="s">
        <v>14</v>
      </c>
      <c r="D125" s="15">
        <v>2.95</v>
      </c>
      <c r="E125" s="14">
        <v>677.97</v>
      </c>
      <c r="F125" s="14" t="s">
        <v>10</v>
      </c>
      <c r="G125" s="14" t="s">
        <v>22</v>
      </c>
      <c r="H125" s="14" t="s">
        <v>51</v>
      </c>
      <c r="I125" s="14" t="s">
        <v>13</v>
      </c>
      <c r="J125" s="15">
        <f>'Cleaned Data'!$D125*'Cleaned Data'!$E125</f>
        <v>2000.0115000000003</v>
      </c>
      <c r="K125" s="16" t="str">
        <f>IF('Cleaned Data'!$E125&gt;500,"High Quantity","Low Quantity")</f>
        <v>High Quantity</v>
      </c>
      <c r="L125" t="str">
        <f t="shared" si="1"/>
        <v>December</v>
      </c>
    </row>
    <row r="126" spans="1:12" x14ac:dyDescent="0.25">
      <c r="A126" s="9">
        <v>10584</v>
      </c>
      <c r="B126" s="31">
        <v>44898</v>
      </c>
      <c r="C126" s="10" t="s">
        <v>17</v>
      </c>
      <c r="D126" s="11">
        <v>4.99</v>
      </c>
      <c r="E126" s="10">
        <v>200.4</v>
      </c>
      <c r="F126" s="10" t="s">
        <v>10</v>
      </c>
      <c r="G126" s="10" t="s">
        <v>22</v>
      </c>
      <c r="H126" s="10" t="s">
        <v>51</v>
      </c>
      <c r="I126" s="10" t="s">
        <v>13</v>
      </c>
      <c r="J126" s="11">
        <f>'Cleaned Data'!$D126*'Cleaned Data'!$E126</f>
        <v>999.99600000000009</v>
      </c>
      <c r="K126" s="12" t="str">
        <f>IF('Cleaned Data'!$E126&gt;500,"High Quantity","Low Quantity")</f>
        <v>Low Quantity</v>
      </c>
      <c r="L126" t="str">
        <f t="shared" si="1"/>
        <v>December</v>
      </c>
    </row>
    <row r="127" spans="1:12" x14ac:dyDescent="0.25">
      <c r="A127" s="13">
        <v>10585</v>
      </c>
      <c r="B127" s="32">
        <v>44899</v>
      </c>
      <c r="C127" s="14" t="s">
        <v>21</v>
      </c>
      <c r="D127" s="15">
        <v>12.99</v>
      </c>
      <c r="E127" s="14">
        <v>538.88</v>
      </c>
      <c r="F127" s="14" t="s">
        <v>10</v>
      </c>
      <c r="G127" s="14" t="s">
        <v>22</v>
      </c>
      <c r="H127" s="14" t="s">
        <v>51</v>
      </c>
      <c r="I127" s="14" t="s">
        <v>13</v>
      </c>
      <c r="J127" s="15">
        <f>'Cleaned Data'!$D127*'Cleaned Data'!$E127</f>
        <v>7000.0511999999999</v>
      </c>
      <c r="K127" s="16" t="str">
        <f>IF('Cleaned Data'!$E127&gt;500,"High Quantity","Low Quantity")</f>
        <v>High Quantity</v>
      </c>
      <c r="L127" t="str">
        <f t="shared" si="1"/>
        <v>December</v>
      </c>
    </row>
    <row r="128" spans="1:12" x14ac:dyDescent="0.25">
      <c r="A128" s="9">
        <v>10586</v>
      </c>
      <c r="B128" s="31">
        <v>44899</v>
      </c>
      <c r="C128" s="10" t="s">
        <v>25</v>
      </c>
      <c r="D128" s="11">
        <v>9.9499999999999993</v>
      </c>
      <c r="E128" s="10">
        <v>201.01</v>
      </c>
      <c r="F128" s="10" t="s">
        <v>10</v>
      </c>
      <c r="G128" s="10" t="s">
        <v>22</v>
      </c>
      <c r="H128" s="10" t="s">
        <v>51</v>
      </c>
      <c r="I128" s="10" t="s">
        <v>13</v>
      </c>
      <c r="J128" s="11">
        <f>'Cleaned Data'!$D128*'Cleaned Data'!$E128</f>
        <v>2000.0494999999999</v>
      </c>
      <c r="K128" s="12" t="str">
        <f>IF('Cleaned Data'!$E128&gt;500,"High Quantity","Low Quantity")</f>
        <v>Low Quantity</v>
      </c>
      <c r="L128" t="str">
        <f t="shared" si="1"/>
        <v>December</v>
      </c>
    </row>
    <row r="129" spans="1:12" x14ac:dyDescent="0.25">
      <c r="A129" s="13">
        <v>10537</v>
      </c>
      <c r="B129" s="32">
        <v>44889</v>
      </c>
      <c r="C129" s="14" t="s">
        <v>9</v>
      </c>
      <c r="D129" s="15">
        <v>3.49</v>
      </c>
      <c r="E129" s="14">
        <v>630.37</v>
      </c>
      <c r="F129" s="14" t="s">
        <v>40</v>
      </c>
      <c r="G129" s="14" t="s">
        <v>22</v>
      </c>
      <c r="H129" s="14" t="s">
        <v>31</v>
      </c>
      <c r="I129" s="14" t="s">
        <v>16</v>
      </c>
      <c r="J129" s="15">
        <f>'Cleaned Data'!$D129*'Cleaned Data'!$E129</f>
        <v>2199.9913000000001</v>
      </c>
      <c r="K129" s="16" t="str">
        <f>IF('Cleaned Data'!$E129&gt;500,"High Quantity","Low Quantity")</f>
        <v>High Quantity</v>
      </c>
      <c r="L129" t="str">
        <f t="shared" si="1"/>
        <v>November</v>
      </c>
    </row>
    <row r="130" spans="1:12" x14ac:dyDescent="0.25">
      <c r="A130" s="9">
        <v>10538</v>
      </c>
      <c r="B130" s="31">
        <v>44889</v>
      </c>
      <c r="C130" s="10" t="s">
        <v>14</v>
      </c>
      <c r="D130" s="11">
        <v>2.95</v>
      </c>
      <c r="E130" s="10">
        <v>745.76</v>
      </c>
      <c r="F130" s="10" t="s">
        <v>40</v>
      </c>
      <c r="G130" s="10" t="s">
        <v>22</v>
      </c>
      <c r="H130" s="10" t="s">
        <v>31</v>
      </c>
      <c r="I130" s="10" t="s">
        <v>16</v>
      </c>
      <c r="J130" s="11">
        <f>'Cleaned Data'!$D130*'Cleaned Data'!$E130</f>
        <v>2199.9920000000002</v>
      </c>
      <c r="K130" s="12" t="str">
        <f>IF('Cleaned Data'!$E130&gt;500,"High Quantity","Low Quantity")</f>
        <v>High Quantity</v>
      </c>
      <c r="L130" t="str">
        <f t="shared" si="1"/>
        <v>November</v>
      </c>
    </row>
    <row r="131" spans="1:12" x14ac:dyDescent="0.25">
      <c r="A131" s="13">
        <v>10539</v>
      </c>
      <c r="B131" s="32">
        <v>44889</v>
      </c>
      <c r="C131" s="14" t="s">
        <v>17</v>
      </c>
      <c r="D131" s="15">
        <v>4.99</v>
      </c>
      <c r="E131" s="14">
        <v>200.4</v>
      </c>
      <c r="F131" s="14" t="s">
        <v>40</v>
      </c>
      <c r="G131" s="14" t="s">
        <v>22</v>
      </c>
      <c r="H131" s="14" t="s">
        <v>31</v>
      </c>
      <c r="I131" s="14" t="s">
        <v>16</v>
      </c>
      <c r="J131" s="15">
        <f>'Cleaned Data'!$D131*'Cleaned Data'!$E131</f>
        <v>999.99600000000009</v>
      </c>
      <c r="K131" s="16" t="str">
        <f>IF('Cleaned Data'!$E131&gt;500,"High Quantity","Low Quantity")</f>
        <v>Low Quantity</v>
      </c>
      <c r="L131" t="str">
        <f t="shared" ref="L131:L194" si="2">TEXT(B131,"mmmm")</f>
        <v>November</v>
      </c>
    </row>
    <row r="132" spans="1:12" x14ac:dyDescent="0.25">
      <c r="A132" s="9">
        <v>10590</v>
      </c>
      <c r="B132" s="31">
        <v>44900</v>
      </c>
      <c r="C132" s="10" t="s">
        <v>21</v>
      </c>
      <c r="D132" s="11">
        <v>12.99</v>
      </c>
      <c r="E132" s="10">
        <v>554.27</v>
      </c>
      <c r="F132" s="10" t="s">
        <v>10</v>
      </c>
      <c r="G132" s="10" t="s">
        <v>22</v>
      </c>
      <c r="H132" s="10" t="s">
        <v>51</v>
      </c>
      <c r="I132" s="10" t="s">
        <v>13</v>
      </c>
      <c r="J132" s="11">
        <f>'Cleaned Data'!$D132*'Cleaned Data'!$E132</f>
        <v>7199.9673000000003</v>
      </c>
      <c r="K132" s="12" t="str">
        <f>IF('Cleaned Data'!$E132&gt;500,"High Quantity","Low Quantity")</f>
        <v>High Quantity</v>
      </c>
      <c r="L132" t="str">
        <f t="shared" si="2"/>
        <v>December</v>
      </c>
    </row>
    <row r="133" spans="1:12" x14ac:dyDescent="0.25">
      <c r="A133" s="13">
        <v>10591</v>
      </c>
      <c r="B133" s="32">
        <v>44900</v>
      </c>
      <c r="C133" s="14" t="s">
        <v>25</v>
      </c>
      <c r="D133" s="15">
        <v>9.9499999999999993</v>
      </c>
      <c r="E133" s="14">
        <v>201.01</v>
      </c>
      <c r="F133" s="14" t="s">
        <v>10</v>
      </c>
      <c r="G133" s="14" t="s">
        <v>22</v>
      </c>
      <c r="H133" s="14" t="s">
        <v>51</v>
      </c>
      <c r="I133" s="14" t="s">
        <v>13</v>
      </c>
      <c r="J133" s="15">
        <f>'Cleaned Data'!$D133*'Cleaned Data'!$E133</f>
        <v>2000.0494999999999</v>
      </c>
      <c r="K133" s="16" t="str">
        <f>IF('Cleaned Data'!$E133&gt;500,"High Quantity","Low Quantity")</f>
        <v>Low Quantity</v>
      </c>
      <c r="L133" t="str">
        <f t="shared" si="2"/>
        <v>December</v>
      </c>
    </row>
    <row r="134" spans="1:12" x14ac:dyDescent="0.25">
      <c r="A134" s="9">
        <v>10592</v>
      </c>
      <c r="B134" s="31">
        <v>44900</v>
      </c>
      <c r="C134" s="10" t="s">
        <v>9</v>
      </c>
      <c r="D134" s="11">
        <v>3.49</v>
      </c>
      <c r="E134" s="10">
        <v>573.07000000000005</v>
      </c>
      <c r="F134" s="10" t="s">
        <v>10</v>
      </c>
      <c r="G134" s="10" t="s">
        <v>22</v>
      </c>
      <c r="H134" s="10" t="s">
        <v>51</v>
      </c>
      <c r="I134" s="10" t="s">
        <v>13</v>
      </c>
      <c r="J134" s="11">
        <f>'Cleaned Data'!$D134*'Cleaned Data'!$E134</f>
        <v>2000.0143000000003</v>
      </c>
      <c r="K134" s="12" t="str">
        <f>IF('Cleaned Data'!$E134&gt;500,"High Quantity","Low Quantity")</f>
        <v>High Quantity</v>
      </c>
      <c r="L134" t="str">
        <f t="shared" si="2"/>
        <v>December</v>
      </c>
    </row>
    <row r="135" spans="1:12" x14ac:dyDescent="0.25">
      <c r="A135" s="13">
        <v>10593</v>
      </c>
      <c r="B135" s="32">
        <v>44900</v>
      </c>
      <c r="C135" s="14" t="s">
        <v>14</v>
      </c>
      <c r="D135" s="15">
        <v>2.95</v>
      </c>
      <c r="E135" s="14">
        <v>677.97</v>
      </c>
      <c r="F135" s="14" t="s">
        <v>10</v>
      </c>
      <c r="G135" s="14" t="s">
        <v>22</v>
      </c>
      <c r="H135" s="14" t="s">
        <v>51</v>
      </c>
      <c r="I135" s="14" t="s">
        <v>13</v>
      </c>
      <c r="J135" s="15">
        <f>'Cleaned Data'!$D135*'Cleaned Data'!$E135</f>
        <v>2000.0115000000003</v>
      </c>
      <c r="K135" s="16" t="str">
        <f>IF('Cleaned Data'!$E135&gt;500,"High Quantity","Low Quantity")</f>
        <v>High Quantity</v>
      </c>
      <c r="L135" t="str">
        <f t="shared" si="2"/>
        <v>December</v>
      </c>
    </row>
    <row r="136" spans="1:12" x14ac:dyDescent="0.25">
      <c r="A136" s="9">
        <v>10594</v>
      </c>
      <c r="B136" s="31">
        <v>44900</v>
      </c>
      <c r="C136" s="10" t="s">
        <v>17</v>
      </c>
      <c r="D136" s="11">
        <v>4.99</v>
      </c>
      <c r="E136" s="10">
        <v>200.4</v>
      </c>
      <c r="F136" s="10" t="s">
        <v>10</v>
      </c>
      <c r="G136" s="10" t="s">
        <v>22</v>
      </c>
      <c r="H136" s="10" t="s">
        <v>51</v>
      </c>
      <c r="I136" s="10" t="s">
        <v>13</v>
      </c>
      <c r="J136" s="11">
        <f>'Cleaned Data'!$D136*'Cleaned Data'!$E136</f>
        <v>999.99600000000009</v>
      </c>
      <c r="K136" s="12" t="str">
        <f>IF('Cleaned Data'!$E136&gt;500,"High Quantity","Low Quantity")</f>
        <v>Low Quantity</v>
      </c>
      <c r="L136" t="str">
        <f t="shared" si="2"/>
        <v>December</v>
      </c>
    </row>
    <row r="137" spans="1:12" x14ac:dyDescent="0.25">
      <c r="A137" s="13">
        <v>10595</v>
      </c>
      <c r="B137" s="32">
        <v>44901</v>
      </c>
      <c r="C137" s="14" t="s">
        <v>21</v>
      </c>
      <c r="D137" s="15">
        <v>12.99</v>
      </c>
      <c r="E137" s="14">
        <v>538.88</v>
      </c>
      <c r="F137" s="14" t="s">
        <v>10</v>
      </c>
      <c r="G137" s="14" t="s">
        <v>22</v>
      </c>
      <c r="H137" s="14" t="s">
        <v>51</v>
      </c>
      <c r="I137" s="14" t="s">
        <v>13</v>
      </c>
      <c r="J137" s="15">
        <f>'Cleaned Data'!$D137*'Cleaned Data'!$E137</f>
        <v>7000.0511999999999</v>
      </c>
      <c r="K137" s="16" t="str">
        <f>IF('Cleaned Data'!$E137&gt;500,"High Quantity","Low Quantity")</f>
        <v>High Quantity</v>
      </c>
      <c r="L137" t="str">
        <f t="shared" si="2"/>
        <v>December</v>
      </c>
    </row>
    <row r="138" spans="1:12" x14ac:dyDescent="0.25">
      <c r="A138" s="9">
        <v>10596</v>
      </c>
      <c r="B138" s="31">
        <v>44901</v>
      </c>
      <c r="C138" s="10" t="s">
        <v>25</v>
      </c>
      <c r="D138" s="11">
        <v>9.9499999999999993</v>
      </c>
      <c r="E138" s="10">
        <v>201.01</v>
      </c>
      <c r="F138" s="10" t="s">
        <v>10</v>
      </c>
      <c r="G138" s="10" t="s">
        <v>22</v>
      </c>
      <c r="H138" s="10" t="s">
        <v>51</v>
      </c>
      <c r="I138" s="10" t="s">
        <v>13</v>
      </c>
      <c r="J138" s="11">
        <f>'Cleaned Data'!$D138*'Cleaned Data'!$E138</f>
        <v>2000.0494999999999</v>
      </c>
      <c r="K138" s="12" t="str">
        <f>IF('Cleaned Data'!$E138&gt;500,"High Quantity","Low Quantity")</f>
        <v>Low Quantity</v>
      </c>
      <c r="L138" t="str">
        <f t="shared" si="2"/>
        <v>December</v>
      </c>
    </row>
    <row r="139" spans="1:12" x14ac:dyDescent="0.25">
      <c r="A139" s="13">
        <v>10597</v>
      </c>
      <c r="B139" s="32">
        <v>44901</v>
      </c>
      <c r="C139" s="14" t="s">
        <v>9</v>
      </c>
      <c r="D139" s="15">
        <v>3.49</v>
      </c>
      <c r="E139" s="14">
        <v>573.07000000000005</v>
      </c>
      <c r="F139" s="14" t="s">
        <v>10</v>
      </c>
      <c r="G139" s="14" t="s">
        <v>22</v>
      </c>
      <c r="H139" s="14" t="s">
        <v>51</v>
      </c>
      <c r="I139" s="14" t="s">
        <v>13</v>
      </c>
      <c r="J139" s="15">
        <f>'Cleaned Data'!$D139*'Cleaned Data'!$E139</f>
        <v>2000.0143000000003</v>
      </c>
      <c r="K139" s="16" t="str">
        <f>IF('Cleaned Data'!$E139&gt;500,"High Quantity","Low Quantity")</f>
        <v>High Quantity</v>
      </c>
      <c r="L139" t="str">
        <f t="shared" si="2"/>
        <v>December</v>
      </c>
    </row>
    <row r="140" spans="1:12" x14ac:dyDescent="0.25">
      <c r="A140" s="9">
        <v>10598</v>
      </c>
      <c r="B140" s="31">
        <v>44901</v>
      </c>
      <c r="C140" s="10" t="s">
        <v>14</v>
      </c>
      <c r="D140" s="11">
        <v>2.95</v>
      </c>
      <c r="E140" s="10">
        <v>677.97</v>
      </c>
      <c r="F140" s="10" t="s">
        <v>10</v>
      </c>
      <c r="G140" s="10" t="s">
        <v>22</v>
      </c>
      <c r="H140" s="10" t="s">
        <v>51</v>
      </c>
      <c r="I140" s="10" t="s">
        <v>13</v>
      </c>
      <c r="J140" s="11">
        <f>'Cleaned Data'!$D140*'Cleaned Data'!$E140</f>
        <v>2000.0115000000003</v>
      </c>
      <c r="K140" s="12" t="str">
        <f>IF('Cleaned Data'!$E140&gt;500,"High Quantity","Low Quantity")</f>
        <v>High Quantity</v>
      </c>
      <c r="L140" t="str">
        <f t="shared" si="2"/>
        <v>December</v>
      </c>
    </row>
    <row r="141" spans="1:12" x14ac:dyDescent="0.25">
      <c r="A141" s="13">
        <v>10599</v>
      </c>
      <c r="B141" s="32">
        <v>44901</v>
      </c>
      <c r="C141" s="14" t="s">
        <v>17</v>
      </c>
      <c r="D141" s="15">
        <v>4.99</v>
      </c>
      <c r="E141" s="14">
        <v>200.4</v>
      </c>
      <c r="F141" s="14" t="s">
        <v>10</v>
      </c>
      <c r="G141" s="14" t="s">
        <v>22</v>
      </c>
      <c r="H141" s="14" t="s">
        <v>51</v>
      </c>
      <c r="I141" s="14" t="s">
        <v>13</v>
      </c>
      <c r="J141" s="15">
        <f>'Cleaned Data'!$D141*'Cleaned Data'!$E141</f>
        <v>999.99600000000009</v>
      </c>
      <c r="K141" s="16" t="str">
        <f>IF('Cleaned Data'!$E141&gt;500,"High Quantity","Low Quantity")</f>
        <v>Low Quantity</v>
      </c>
      <c r="L141" t="str">
        <f t="shared" si="2"/>
        <v>December</v>
      </c>
    </row>
    <row r="142" spans="1:12" x14ac:dyDescent="0.25">
      <c r="A142" s="9">
        <v>10600</v>
      </c>
      <c r="B142" s="31">
        <v>44902</v>
      </c>
      <c r="C142" s="10" t="s">
        <v>21</v>
      </c>
      <c r="D142" s="11">
        <v>12.99</v>
      </c>
      <c r="E142" s="10">
        <v>523.48</v>
      </c>
      <c r="F142" s="10" t="s">
        <v>10</v>
      </c>
      <c r="G142" s="10" t="s">
        <v>22</v>
      </c>
      <c r="H142" s="10" t="s">
        <v>51</v>
      </c>
      <c r="I142" s="10" t="s">
        <v>13</v>
      </c>
      <c r="J142" s="11">
        <f>'Cleaned Data'!$D142*'Cleaned Data'!$E142</f>
        <v>6800.0052000000005</v>
      </c>
      <c r="K142" s="12" t="str">
        <f>IF('Cleaned Data'!$E142&gt;500,"High Quantity","Low Quantity")</f>
        <v>High Quantity</v>
      </c>
      <c r="L142" t="str">
        <f t="shared" si="2"/>
        <v>December</v>
      </c>
    </row>
    <row r="143" spans="1:12" x14ac:dyDescent="0.25">
      <c r="A143" s="13">
        <v>10601</v>
      </c>
      <c r="B143" s="32">
        <v>44902</v>
      </c>
      <c r="C143" s="14" t="s">
        <v>25</v>
      </c>
      <c r="D143" s="15">
        <v>9.9499999999999993</v>
      </c>
      <c r="E143" s="14">
        <v>201.01</v>
      </c>
      <c r="F143" s="14" t="s">
        <v>10</v>
      </c>
      <c r="G143" s="14" t="s">
        <v>22</v>
      </c>
      <c r="H143" s="14" t="s">
        <v>51</v>
      </c>
      <c r="I143" s="14" t="s">
        <v>13</v>
      </c>
      <c r="J143" s="15">
        <f>'Cleaned Data'!$D143*'Cleaned Data'!$E143</f>
        <v>2000.0494999999999</v>
      </c>
      <c r="K143" s="16" t="str">
        <f>IF('Cleaned Data'!$E143&gt;500,"High Quantity","Low Quantity")</f>
        <v>Low Quantity</v>
      </c>
      <c r="L143" t="str">
        <f t="shared" si="2"/>
        <v>December</v>
      </c>
    </row>
    <row r="144" spans="1:12" x14ac:dyDescent="0.25">
      <c r="A144" s="9">
        <v>10602</v>
      </c>
      <c r="B144" s="31">
        <v>44902</v>
      </c>
      <c r="C144" s="10" t="s">
        <v>9</v>
      </c>
      <c r="D144" s="11">
        <v>3.49</v>
      </c>
      <c r="E144" s="10">
        <v>630.37</v>
      </c>
      <c r="F144" s="10" t="s">
        <v>10</v>
      </c>
      <c r="G144" s="10" t="s">
        <v>44</v>
      </c>
      <c r="H144" s="10" t="s">
        <v>51</v>
      </c>
      <c r="I144" s="10" t="s">
        <v>13</v>
      </c>
      <c r="J144" s="11">
        <f>'Cleaned Data'!$D144*'Cleaned Data'!$E144</f>
        <v>2199.9913000000001</v>
      </c>
      <c r="K144" s="12" t="str">
        <f>IF('Cleaned Data'!$E144&gt;500,"High Quantity","Low Quantity")</f>
        <v>High Quantity</v>
      </c>
      <c r="L144" t="str">
        <f t="shared" si="2"/>
        <v>December</v>
      </c>
    </row>
    <row r="145" spans="1:12" x14ac:dyDescent="0.25">
      <c r="A145" s="13">
        <v>10603</v>
      </c>
      <c r="B145" s="32">
        <v>44902</v>
      </c>
      <c r="C145" s="14" t="s">
        <v>14</v>
      </c>
      <c r="D145" s="15">
        <v>2.95</v>
      </c>
      <c r="E145" s="14">
        <v>677.97</v>
      </c>
      <c r="F145" s="14" t="s">
        <v>10</v>
      </c>
      <c r="G145" s="14" t="s">
        <v>44</v>
      </c>
      <c r="H145" s="14" t="s">
        <v>51</v>
      </c>
      <c r="I145" s="14" t="s">
        <v>13</v>
      </c>
      <c r="J145" s="15">
        <f>'Cleaned Data'!$D145*'Cleaned Data'!$E145</f>
        <v>2000.0115000000003</v>
      </c>
      <c r="K145" s="16" t="str">
        <f>IF('Cleaned Data'!$E145&gt;500,"High Quantity","Low Quantity")</f>
        <v>High Quantity</v>
      </c>
      <c r="L145" t="str">
        <f t="shared" si="2"/>
        <v>December</v>
      </c>
    </row>
    <row r="146" spans="1:12" x14ac:dyDescent="0.25">
      <c r="A146" s="9">
        <v>10604</v>
      </c>
      <c r="B146" s="31">
        <v>44902</v>
      </c>
      <c r="C146" s="10" t="s">
        <v>17</v>
      </c>
      <c r="D146" s="11">
        <v>4.99</v>
      </c>
      <c r="E146" s="10">
        <v>200.4</v>
      </c>
      <c r="F146" s="10" t="s">
        <v>10</v>
      </c>
      <c r="G146" s="10" t="s">
        <v>44</v>
      </c>
      <c r="H146" s="10" t="s">
        <v>51</v>
      </c>
      <c r="I146" s="10" t="s">
        <v>13</v>
      </c>
      <c r="J146" s="11">
        <f>'Cleaned Data'!$D146*'Cleaned Data'!$E146</f>
        <v>999.99600000000009</v>
      </c>
      <c r="K146" s="12" t="str">
        <f>IF('Cleaned Data'!$E146&gt;500,"High Quantity","Low Quantity")</f>
        <v>Low Quantity</v>
      </c>
      <c r="L146" t="str">
        <f t="shared" si="2"/>
        <v>December</v>
      </c>
    </row>
    <row r="147" spans="1:12" x14ac:dyDescent="0.25">
      <c r="A147" s="13">
        <v>10605</v>
      </c>
      <c r="B147" s="32">
        <v>44903</v>
      </c>
      <c r="C147" s="14" t="s">
        <v>21</v>
      </c>
      <c r="D147" s="15">
        <v>12.99</v>
      </c>
      <c r="E147" s="14">
        <v>538.88</v>
      </c>
      <c r="F147" s="14" t="s">
        <v>10</v>
      </c>
      <c r="G147" s="14" t="s">
        <v>44</v>
      </c>
      <c r="H147" s="14" t="s">
        <v>51</v>
      </c>
      <c r="I147" s="14" t="s">
        <v>13</v>
      </c>
      <c r="J147" s="15">
        <f>'Cleaned Data'!$D147*'Cleaned Data'!$E147</f>
        <v>7000.0511999999999</v>
      </c>
      <c r="K147" s="16" t="str">
        <f>IF('Cleaned Data'!$E147&gt;500,"High Quantity","Low Quantity")</f>
        <v>High Quantity</v>
      </c>
      <c r="L147" t="str">
        <f t="shared" si="2"/>
        <v>December</v>
      </c>
    </row>
    <row r="148" spans="1:12" x14ac:dyDescent="0.25">
      <c r="A148" s="9">
        <v>10606</v>
      </c>
      <c r="B148" s="31">
        <v>44903</v>
      </c>
      <c r="C148" s="10" t="s">
        <v>25</v>
      </c>
      <c r="D148" s="11">
        <v>9.9499999999999993</v>
      </c>
      <c r="E148" s="10">
        <v>201.01</v>
      </c>
      <c r="F148" s="10" t="s">
        <v>10</v>
      </c>
      <c r="G148" s="10" t="s">
        <v>44</v>
      </c>
      <c r="H148" s="10" t="s">
        <v>51</v>
      </c>
      <c r="I148" s="10" t="s">
        <v>13</v>
      </c>
      <c r="J148" s="11">
        <f>'Cleaned Data'!$D148*'Cleaned Data'!$E148</f>
        <v>2000.0494999999999</v>
      </c>
      <c r="K148" s="12" t="str">
        <f>IF('Cleaned Data'!$E148&gt;500,"High Quantity","Low Quantity")</f>
        <v>Low Quantity</v>
      </c>
      <c r="L148" t="str">
        <f t="shared" si="2"/>
        <v>December</v>
      </c>
    </row>
    <row r="149" spans="1:12" x14ac:dyDescent="0.25">
      <c r="A149" s="13">
        <v>10607</v>
      </c>
      <c r="B149" s="32">
        <v>44903</v>
      </c>
      <c r="C149" s="14" t="s">
        <v>9</v>
      </c>
      <c r="D149" s="15">
        <v>3.49</v>
      </c>
      <c r="E149" s="14">
        <v>630.37</v>
      </c>
      <c r="F149" s="14" t="s">
        <v>10</v>
      </c>
      <c r="G149" s="14" t="s">
        <v>44</v>
      </c>
      <c r="H149" s="14" t="s">
        <v>51</v>
      </c>
      <c r="I149" s="14" t="s">
        <v>13</v>
      </c>
      <c r="J149" s="15">
        <f>'Cleaned Data'!$D149*'Cleaned Data'!$E149</f>
        <v>2199.9913000000001</v>
      </c>
      <c r="K149" s="16" t="str">
        <f>IF('Cleaned Data'!$E149&gt;500,"High Quantity","Low Quantity")</f>
        <v>High Quantity</v>
      </c>
      <c r="L149" t="str">
        <f t="shared" si="2"/>
        <v>December</v>
      </c>
    </row>
    <row r="150" spans="1:12" x14ac:dyDescent="0.25">
      <c r="A150" s="9">
        <v>10608</v>
      </c>
      <c r="B150" s="31">
        <v>44903</v>
      </c>
      <c r="C150" s="10" t="s">
        <v>14</v>
      </c>
      <c r="D150" s="11">
        <v>2.95</v>
      </c>
      <c r="E150" s="10">
        <v>677.97</v>
      </c>
      <c r="F150" s="10" t="s">
        <v>10</v>
      </c>
      <c r="G150" s="10" t="s">
        <v>11</v>
      </c>
      <c r="H150" s="10" t="s">
        <v>51</v>
      </c>
      <c r="I150" s="10" t="s">
        <v>13</v>
      </c>
      <c r="J150" s="11">
        <f>'Cleaned Data'!$D150*'Cleaned Data'!$E150</f>
        <v>2000.0115000000003</v>
      </c>
      <c r="K150" s="12" t="str">
        <f>IF('Cleaned Data'!$E150&gt;500,"High Quantity","Low Quantity")</f>
        <v>High Quantity</v>
      </c>
      <c r="L150" t="str">
        <f t="shared" si="2"/>
        <v>December</v>
      </c>
    </row>
    <row r="151" spans="1:12" x14ac:dyDescent="0.25">
      <c r="A151" s="13">
        <v>10609</v>
      </c>
      <c r="B151" s="32">
        <v>44903</v>
      </c>
      <c r="C151" s="14" t="s">
        <v>17</v>
      </c>
      <c r="D151" s="15">
        <v>4.99</v>
      </c>
      <c r="E151" s="14">
        <v>200.4</v>
      </c>
      <c r="F151" s="14" t="s">
        <v>10</v>
      </c>
      <c r="G151" s="14" t="s">
        <v>11</v>
      </c>
      <c r="H151" s="14" t="s">
        <v>51</v>
      </c>
      <c r="I151" s="14" t="s">
        <v>13</v>
      </c>
      <c r="J151" s="15">
        <f>'Cleaned Data'!$D151*'Cleaned Data'!$E151</f>
        <v>999.99600000000009</v>
      </c>
      <c r="K151" s="16" t="str">
        <f>IF('Cleaned Data'!$E151&gt;500,"High Quantity","Low Quantity")</f>
        <v>Low Quantity</v>
      </c>
      <c r="L151" t="str">
        <f t="shared" si="2"/>
        <v>December</v>
      </c>
    </row>
    <row r="152" spans="1:12" x14ac:dyDescent="0.25">
      <c r="A152" s="9">
        <v>10610</v>
      </c>
      <c r="B152" s="31">
        <v>44904</v>
      </c>
      <c r="C152" s="10" t="s">
        <v>21</v>
      </c>
      <c r="D152" s="11">
        <v>12.99</v>
      </c>
      <c r="E152" s="10">
        <v>569.66999999999996</v>
      </c>
      <c r="F152" s="10" t="s">
        <v>10</v>
      </c>
      <c r="G152" s="10" t="s">
        <v>11</v>
      </c>
      <c r="H152" s="10" t="s">
        <v>51</v>
      </c>
      <c r="I152" s="10" t="s">
        <v>13</v>
      </c>
      <c r="J152" s="11">
        <f>'Cleaned Data'!$D152*'Cleaned Data'!$E152</f>
        <v>7400.0132999999996</v>
      </c>
      <c r="K152" s="12" t="str">
        <f>IF('Cleaned Data'!$E152&gt;500,"High Quantity","Low Quantity")</f>
        <v>High Quantity</v>
      </c>
      <c r="L152" t="str">
        <f t="shared" si="2"/>
        <v>December</v>
      </c>
    </row>
    <row r="153" spans="1:12" x14ac:dyDescent="0.25">
      <c r="A153" s="13">
        <v>10611</v>
      </c>
      <c r="B153" s="32">
        <v>44904</v>
      </c>
      <c r="C153" s="14" t="s">
        <v>25</v>
      </c>
      <c r="D153" s="15">
        <v>9.9499999999999993</v>
      </c>
      <c r="E153" s="14">
        <v>201.01</v>
      </c>
      <c r="F153" s="14" t="s">
        <v>10</v>
      </c>
      <c r="G153" s="14" t="s">
        <v>11</v>
      </c>
      <c r="H153" s="14" t="s">
        <v>51</v>
      </c>
      <c r="I153" s="14" t="s">
        <v>13</v>
      </c>
      <c r="J153" s="15">
        <f>'Cleaned Data'!$D153*'Cleaned Data'!$E153</f>
        <v>2000.0494999999999</v>
      </c>
      <c r="K153" s="16" t="str">
        <f>IF('Cleaned Data'!$E153&gt;500,"High Quantity","Low Quantity")</f>
        <v>Low Quantity</v>
      </c>
      <c r="L153" t="str">
        <f t="shared" si="2"/>
        <v>December</v>
      </c>
    </row>
    <row r="154" spans="1:12" x14ac:dyDescent="0.25">
      <c r="A154" s="9">
        <v>10612</v>
      </c>
      <c r="B154" s="31">
        <v>44904</v>
      </c>
      <c r="C154" s="10" t="s">
        <v>9</v>
      </c>
      <c r="D154" s="11">
        <v>3.49</v>
      </c>
      <c r="E154" s="10">
        <v>630.37</v>
      </c>
      <c r="F154" s="10" t="s">
        <v>10</v>
      </c>
      <c r="G154" s="10" t="s">
        <v>11</v>
      </c>
      <c r="H154" s="10" t="s">
        <v>51</v>
      </c>
      <c r="I154" s="10" t="s">
        <v>13</v>
      </c>
      <c r="J154" s="11">
        <f>'Cleaned Data'!$D154*'Cleaned Data'!$E154</f>
        <v>2199.9913000000001</v>
      </c>
      <c r="K154" s="12" t="str">
        <f>IF('Cleaned Data'!$E154&gt;500,"High Quantity","Low Quantity")</f>
        <v>High Quantity</v>
      </c>
      <c r="L154" t="str">
        <f t="shared" si="2"/>
        <v>December</v>
      </c>
    </row>
    <row r="155" spans="1:12" x14ac:dyDescent="0.25">
      <c r="A155" s="13">
        <v>10613</v>
      </c>
      <c r="B155" s="32">
        <v>44904</v>
      </c>
      <c r="C155" s="14" t="s">
        <v>14</v>
      </c>
      <c r="D155" s="15">
        <v>2.95</v>
      </c>
      <c r="E155" s="14">
        <v>677.97</v>
      </c>
      <c r="F155" s="14" t="s">
        <v>10</v>
      </c>
      <c r="G155" s="14" t="s">
        <v>11</v>
      </c>
      <c r="H155" s="14" t="s">
        <v>51</v>
      </c>
      <c r="I155" s="14" t="s">
        <v>13</v>
      </c>
      <c r="J155" s="15">
        <f>'Cleaned Data'!$D155*'Cleaned Data'!$E155</f>
        <v>2000.0115000000003</v>
      </c>
      <c r="K155" s="16" t="str">
        <f>IF('Cleaned Data'!$E155&gt;500,"High Quantity","Low Quantity")</f>
        <v>High Quantity</v>
      </c>
      <c r="L155" t="str">
        <f t="shared" si="2"/>
        <v>December</v>
      </c>
    </row>
    <row r="156" spans="1:12" x14ac:dyDescent="0.25">
      <c r="A156" s="9">
        <v>10614</v>
      </c>
      <c r="B156" s="31">
        <v>44904</v>
      </c>
      <c r="C156" s="10" t="s">
        <v>17</v>
      </c>
      <c r="D156" s="11">
        <v>4.99</v>
      </c>
      <c r="E156" s="10">
        <v>200.4</v>
      </c>
      <c r="F156" s="10" t="s">
        <v>10</v>
      </c>
      <c r="G156" s="10" t="s">
        <v>11</v>
      </c>
      <c r="H156" s="10" t="s">
        <v>51</v>
      </c>
      <c r="I156" s="10" t="s">
        <v>13</v>
      </c>
      <c r="J156" s="11">
        <f>'Cleaned Data'!$D156*'Cleaned Data'!$E156</f>
        <v>999.99600000000009</v>
      </c>
      <c r="K156" s="12" t="str">
        <f>IF('Cleaned Data'!$E156&gt;500,"High Quantity","Low Quantity")</f>
        <v>Low Quantity</v>
      </c>
      <c r="L156" t="str">
        <f t="shared" si="2"/>
        <v>December</v>
      </c>
    </row>
    <row r="157" spans="1:12" x14ac:dyDescent="0.25">
      <c r="A157" s="13">
        <v>10615</v>
      </c>
      <c r="B157" s="32">
        <v>44905</v>
      </c>
      <c r="C157" s="14" t="s">
        <v>21</v>
      </c>
      <c r="D157" s="15">
        <v>12.99</v>
      </c>
      <c r="E157" s="14">
        <v>569.66999999999996</v>
      </c>
      <c r="F157" s="14" t="s">
        <v>10</v>
      </c>
      <c r="G157" s="14" t="s">
        <v>11</v>
      </c>
      <c r="H157" s="14" t="s">
        <v>51</v>
      </c>
      <c r="I157" s="14" t="s">
        <v>13</v>
      </c>
      <c r="J157" s="15">
        <f>'Cleaned Data'!$D157*'Cleaned Data'!$E157</f>
        <v>7400.0132999999996</v>
      </c>
      <c r="K157" s="16" t="str">
        <f>IF('Cleaned Data'!$E157&gt;500,"High Quantity","Low Quantity")</f>
        <v>High Quantity</v>
      </c>
      <c r="L157" t="str">
        <f t="shared" si="2"/>
        <v>December</v>
      </c>
    </row>
    <row r="158" spans="1:12" x14ac:dyDescent="0.25">
      <c r="A158" s="9">
        <v>10616</v>
      </c>
      <c r="B158" s="31">
        <v>44905</v>
      </c>
      <c r="C158" s="10" t="s">
        <v>25</v>
      </c>
      <c r="D158" s="11">
        <v>9.9499999999999993</v>
      </c>
      <c r="E158" s="10">
        <v>201.01</v>
      </c>
      <c r="F158" s="10" t="s">
        <v>10</v>
      </c>
      <c r="G158" s="10" t="s">
        <v>11</v>
      </c>
      <c r="H158" s="10" t="s">
        <v>51</v>
      </c>
      <c r="I158" s="10" t="s">
        <v>13</v>
      </c>
      <c r="J158" s="11">
        <f>'Cleaned Data'!$D158*'Cleaned Data'!$E158</f>
        <v>2000.0494999999999</v>
      </c>
      <c r="K158" s="12" t="str">
        <f>IF('Cleaned Data'!$E158&gt;500,"High Quantity","Low Quantity")</f>
        <v>Low Quantity</v>
      </c>
      <c r="L158" t="str">
        <f t="shared" si="2"/>
        <v>December</v>
      </c>
    </row>
    <row r="159" spans="1:12" x14ac:dyDescent="0.25">
      <c r="A159" s="13">
        <v>10617</v>
      </c>
      <c r="B159" s="32">
        <v>44905</v>
      </c>
      <c r="C159" s="14" t="s">
        <v>9</v>
      </c>
      <c r="D159" s="15">
        <v>3.49</v>
      </c>
      <c r="E159" s="14">
        <v>630.37</v>
      </c>
      <c r="F159" s="14" t="s">
        <v>10</v>
      </c>
      <c r="G159" s="14" t="s">
        <v>11</v>
      </c>
      <c r="H159" s="14" t="s">
        <v>51</v>
      </c>
      <c r="I159" s="14" t="s">
        <v>13</v>
      </c>
      <c r="J159" s="15">
        <f>'Cleaned Data'!$D159*'Cleaned Data'!$E159</f>
        <v>2199.9913000000001</v>
      </c>
      <c r="K159" s="16" t="str">
        <f>IF('Cleaned Data'!$E159&gt;500,"High Quantity","Low Quantity")</f>
        <v>High Quantity</v>
      </c>
      <c r="L159" t="str">
        <f t="shared" si="2"/>
        <v>December</v>
      </c>
    </row>
    <row r="160" spans="1:12" x14ac:dyDescent="0.25">
      <c r="A160" s="9">
        <v>10618</v>
      </c>
      <c r="B160" s="31">
        <v>44905</v>
      </c>
      <c r="C160" s="10" t="s">
        <v>14</v>
      </c>
      <c r="D160" s="11">
        <v>2.95</v>
      </c>
      <c r="E160" s="10">
        <v>677.97</v>
      </c>
      <c r="F160" s="10" t="s">
        <v>10</v>
      </c>
      <c r="G160" s="10" t="s">
        <v>11</v>
      </c>
      <c r="H160" s="10" t="s">
        <v>51</v>
      </c>
      <c r="I160" s="10" t="s">
        <v>13</v>
      </c>
      <c r="J160" s="11">
        <f>'Cleaned Data'!$D160*'Cleaned Data'!$E160</f>
        <v>2000.0115000000003</v>
      </c>
      <c r="K160" s="12" t="str">
        <f>IF('Cleaned Data'!$E160&gt;500,"High Quantity","Low Quantity")</f>
        <v>High Quantity</v>
      </c>
      <c r="L160" t="str">
        <f t="shared" si="2"/>
        <v>December</v>
      </c>
    </row>
    <row r="161" spans="1:12" x14ac:dyDescent="0.25">
      <c r="A161" s="13">
        <v>10619</v>
      </c>
      <c r="B161" s="32">
        <v>44905</v>
      </c>
      <c r="C161" s="14" t="s">
        <v>17</v>
      </c>
      <c r="D161" s="15">
        <v>4.99</v>
      </c>
      <c r="E161" s="14">
        <v>200.4</v>
      </c>
      <c r="F161" s="14" t="s">
        <v>10</v>
      </c>
      <c r="G161" s="14" t="s">
        <v>11</v>
      </c>
      <c r="H161" s="14" t="s">
        <v>51</v>
      </c>
      <c r="I161" s="14" t="s">
        <v>13</v>
      </c>
      <c r="J161" s="15">
        <f>'Cleaned Data'!$D161*'Cleaned Data'!$E161</f>
        <v>999.99600000000009</v>
      </c>
      <c r="K161" s="16" t="str">
        <f>IF('Cleaned Data'!$E161&gt;500,"High Quantity","Low Quantity")</f>
        <v>Low Quantity</v>
      </c>
      <c r="L161" t="str">
        <f t="shared" si="2"/>
        <v>December</v>
      </c>
    </row>
    <row r="162" spans="1:12" x14ac:dyDescent="0.25">
      <c r="A162" s="9">
        <v>10620</v>
      </c>
      <c r="B162" s="31">
        <v>44906</v>
      </c>
      <c r="C162" s="10" t="s">
        <v>21</v>
      </c>
      <c r="D162" s="11">
        <v>12.99</v>
      </c>
      <c r="E162" s="10">
        <v>585.07000000000005</v>
      </c>
      <c r="F162" s="10" t="s">
        <v>10</v>
      </c>
      <c r="G162" s="10" t="s">
        <v>11</v>
      </c>
      <c r="H162" s="10" t="s">
        <v>51</v>
      </c>
      <c r="I162" s="10" t="s">
        <v>13</v>
      </c>
      <c r="J162" s="11">
        <f>'Cleaned Data'!$D162*'Cleaned Data'!$E162</f>
        <v>7600.0593000000008</v>
      </c>
      <c r="K162" s="12" t="str">
        <f>IF('Cleaned Data'!$E162&gt;500,"High Quantity","Low Quantity")</f>
        <v>High Quantity</v>
      </c>
      <c r="L162" t="str">
        <f t="shared" si="2"/>
        <v>December</v>
      </c>
    </row>
    <row r="163" spans="1:12" x14ac:dyDescent="0.25">
      <c r="A163" s="13">
        <v>10621</v>
      </c>
      <c r="B163" s="32">
        <v>44906</v>
      </c>
      <c r="C163" s="14" t="s">
        <v>25</v>
      </c>
      <c r="D163" s="15">
        <v>9.9499999999999993</v>
      </c>
      <c r="E163" s="14">
        <v>201.01</v>
      </c>
      <c r="F163" s="14" t="s">
        <v>10</v>
      </c>
      <c r="G163" s="14" t="s">
        <v>11</v>
      </c>
      <c r="H163" s="14" t="s">
        <v>51</v>
      </c>
      <c r="I163" s="14" t="s">
        <v>13</v>
      </c>
      <c r="J163" s="15">
        <f>'Cleaned Data'!$D163*'Cleaned Data'!$E163</f>
        <v>2000.0494999999999</v>
      </c>
      <c r="K163" s="16" t="str">
        <f>IF('Cleaned Data'!$E163&gt;500,"High Quantity","Low Quantity")</f>
        <v>Low Quantity</v>
      </c>
      <c r="L163" t="str">
        <f t="shared" si="2"/>
        <v>December</v>
      </c>
    </row>
    <row r="164" spans="1:12" x14ac:dyDescent="0.25">
      <c r="A164" s="9">
        <v>10622</v>
      </c>
      <c r="B164" s="31">
        <v>44906</v>
      </c>
      <c r="C164" s="10" t="s">
        <v>9</v>
      </c>
      <c r="D164" s="11">
        <v>3.49</v>
      </c>
      <c r="E164" s="10">
        <v>630.37</v>
      </c>
      <c r="F164" s="10" t="s">
        <v>10</v>
      </c>
      <c r="G164" s="10" t="s">
        <v>11</v>
      </c>
      <c r="H164" s="10" t="s">
        <v>51</v>
      </c>
      <c r="I164" s="10" t="s">
        <v>13</v>
      </c>
      <c r="J164" s="11">
        <f>'Cleaned Data'!$D164*'Cleaned Data'!$E164</f>
        <v>2199.9913000000001</v>
      </c>
      <c r="K164" s="12" t="str">
        <f>IF('Cleaned Data'!$E164&gt;500,"High Quantity","Low Quantity")</f>
        <v>High Quantity</v>
      </c>
      <c r="L164" t="str">
        <f t="shared" si="2"/>
        <v>December</v>
      </c>
    </row>
    <row r="165" spans="1:12" x14ac:dyDescent="0.25">
      <c r="A165" s="13">
        <v>10623</v>
      </c>
      <c r="B165" s="32">
        <v>44906</v>
      </c>
      <c r="C165" s="14" t="s">
        <v>14</v>
      </c>
      <c r="D165" s="15">
        <v>2.95</v>
      </c>
      <c r="E165" s="14">
        <v>745.76</v>
      </c>
      <c r="F165" s="14" t="s">
        <v>10</v>
      </c>
      <c r="G165" s="14" t="s">
        <v>11</v>
      </c>
      <c r="H165" s="14" t="s">
        <v>51</v>
      </c>
      <c r="I165" s="14" t="s">
        <v>13</v>
      </c>
      <c r="J165" s="15">
        <f>'Cleaned Data'!$D165*'Cleaned Data'!$E165</f>
        <v>2199.9920000000002</v>
      </c>
      <c r="K165" s="16" t="str">
        <f>IF('Cleaned Data'!$E165&gt;500,"High Quantity","Low Quantity")</f>
        <v>High Quantity</v>
      </c>
      <c r="L165" t="str">
        <f t="shared" si="2"/>
        <v>December</v>
      </c>
    </row>
    <row r="166" spans="1:12" x14ac:dyDescent="0.25">
      <c r="A166" s="9">
        <v>10624</v>
      </c>
      <c r="B166" s="31">
        <v>44906</v>
      </c>
      <c r="C166" s="10" t="s">
        <v>17</v>
      </c>
      <c r="D166" s="11">
        <v>4.99</v>
      </c>
      <c r="E166" s="10">
        <v>200.4</v>
      </c>
      <c r="F166" s="10" t="s">
        <v>10</v>
      </c>
      <c r="G166" s="10" t="s">
        <v>11</v>
      </c>
      <c r="H166" s="10" t="s">
        <v>51</v>
      </c>
      <c r="I166" s="10" t="s">
        <v>13</v>
      </c>
      <c r="J166" s="11">
        <f>'Cleaned Data'!$D166*'Cleaned Data'!$E166</f>
        <v>999.99600000000009</v>
      </c>
      <c r="K166" s="12" t="str">
        <f>IF('Cleaned Data'!$E166&gt;500,"High Quantity","Low Quantity")</f>
        <v>Low Quantity</v>
      </c>
      <c r="L166" t="str">
        <f t="shared" si="2"/>
        <v>December</v>
      </c>
    </row>
    <row r="167" spans="1:12" x14ac:dyDescent="0.25">
      <c r="A167" s="13">
        <v>10625</v>
      </c>
      <c r="B167" s="32">
        <v>44907</v>
      </c>
      <c r="C167" s="14" t="s">
        <v>21</v>
      </c>
      <c r="D167" s="15">
        <v>12.99</v>
      </c>
      <c r="E167" s="14">
        <v>569.66999999999996</v>
      </c>
      <c r="F167" s="14" t="s">
        <v>10</v>
      </c>
      <c r="G167" s="14" t="s">
        <v>11</v>
      </c>
      <c r="H167" s="14" t="s">
        <v>51</v>
      </c>
      <c r="I167" s="14" t="s">
        <v>13</v>
      </c>
      <c r="J167" s="15">
        <f>'Cleaned Data'!$D167*'Cleaned Data'!$E167</f>
        <v>7400.0132999999996</v>
      </c>
      <c r="K167" s="16" t="str">
        <f>IF('Cleaned Data'!$E167&gt;500,"High Quantity","Low Quantity")</f>
        <v>High Quantity</v>
      </c>
      <c r="L167" t="str">
        <f t="shared" si="2"/>
        <v>December</v>
      </c>
    </row>
    <row r="168" spans="1:12" x14ac:dyDescent="0.25">
      <c r="A168" s="9">
        <v>10626</v>
      </c>
      <c r="B168" s="31">
        <v>44907</v>
      </c>
      <c r="C168" s="10" t="s">
        <v>25</v>
      </c>
      <c r="D168" s="11">
        <v>9.9499999999999993</v>
      </c>
      <c r="E168" s="10">
        <v>201.01</v>
      </c>
      <c r="F168" s="10" t="s">
        <v>10</v>
      </c>
      <c r="G168" s="10" t="s">
        <v>11</v>
      </c>
      <c r="H168" s="10" t="s">
        <v>51</v>
      </c>
      <c r="I168" s="10" t="s">
        <v>13</v>
      </c>
      <c r="J168" s="11">
        <f>'Cleaned Data'!$D168*'Cleaned Data'!$E168</f>
        <v>2000.0494999999999</v>
      </c>
      <c r="K168" s="12" t="str">
        <f>IF('Cleaned Data'!$E168&gt;500,"High Quantity","Low Quantity")</f>
        <v>Low Quantity</v>
      </c>
      <c r="L168" t="str">
        <f t="shared" si="2"/>
        <v>December</v>
      </c>
    </row>
    <row r="169" spans="1:12" x14ac:dyDescent="0.25">
      <c r="A169" s="13">
        <v>10627</v>
      </c>
      <c r="B169" s="32">
        <v>44907</v>
      </c>
      <c r="C169" s="14" t="s">
        <v>9</v>
      </c>
      <c r="D169" s="15">
        <v>3.49</v>
      </c>
      <c r="E169" s="14">
        <v>630.37</v>
      </c>
      <c r="F169" s="14" t="s">
        <v>10</v>
      </c>
      <c r="G169" s="14" t="s">
        <v>11</v>
      </c>
      <c r="H169" s="14" t="s">
        <v>51</v>
      </c>
      <c r="I169" s="14" t="s">
        <v>13</v>
      </c>
      <c r="J169" s="15">
        <f>'Cleaned Data'!$D169*'Cleaned Data'!$E169</f>
        <v>2199.9913000000001</v>
      </c>
      <c r="K169" s="16" t="str">
        <f>IF('Cleaned Data'!$E169&gt;500,"High Quantity","Low Quantity")</f>
        <v>High Quantity</v>
      </c>
      <c r="L169" t="str">
        <f t="shared" si="2"/>
        <v>December</v>
      </c>
    </row>
    <row r="170" spans="1:12" x14ac:dyDescent="0.25">
      <c r="A170" s="9">
        <v>10628</v>
      </c>
      <c r="B170" s="31">
        <v>44907</v>
      </c>
      <c r="C170" s="10" t="s">
        <v>14</v>
      </c>
      <c r="D170" s="11">
        <v>2.95</v>
      </c>
      <c r="E170" s="10">
        <v>677.97</v>
      </c>
      <c r="F170" s="10" t="s">
        <v>10</v>
      </c>
      <c r="G170" s="10" t="s">
        <v>11</v>
      </c>
      <c r="H170" s="10" t="s">
        <v>36</v>
      </c>
      <c r="I170" s="10" t="s">
        <v>20</v>
      </c>
      <c r="J170" s="11">
        <f>'Cleaned Data'!$D170*'Cleaned Data'!$E170</f>
        <v>2000.0115000000003</v>
      </c>
      <c r="K170" s="12" t="str">
        <f>IF('Cleaned Data'!$E170&gt;500,"High Quantity","Low Quantity")</f>
        <v>High Quantity</v>
      </c>
      <c r="L170" t="str">
        <f t="shared" si="2"/>
        <v>December</v>
      </c>
    </row>
    <row r="171" spans="1:12" x14ac:dyDescent="0.25">
      <c r="A171" s="13">
        <v>10629</v>
      </c>
      <c r="B171" s="32">
        <v>44907</v>
      </c>
      <c r="C171" s="14" t="s">
        <v>17</v>
      </c>
      <c r="D171" s="15">
        <v>4.99</v>
      </c>
      <c r="E171" s="14">
        <v>200.4</v>
      </c>
      <c r="F171" s="14" t="s">
        <v>10</v>
      </c>
      <c r="G171" s="14" t="s">
        <v>11</v>
      </c>
      <c r="H171" s="14" t="s">
        <v>36</v>
      </c>
      <c r="I171" s="14" t="s">
        <v>20</v>
      </c>
      <c r="J171" s="15">
        <f>'Cleaned Data'!$D171*'Cleaned Data'!$E171</f>
        <v>999.99600000000009</v>
      </c>
      <c r="K171" s="16" t="str">
        <f>IF('Cleaned Data'!$E171&gt;500,"High Quantity","Low Quantity")</f>
        <v>Low Quantity</v>
      </c>
      <c r="L171" t="str">
        <f t="shared" si="2"/>
        <v>December</v>
      </c>
    </row>
    <row r="172" spans="1:12" x14ac:dyDescent="0.25">
      <c r="A172" s="9">
        <v>10630</v>
      </c>
      <c r="B172" s="31">
        <v>44908</v>
      </c>
      <c r="C172" s="10" t="s">
        <v>21</v>
      </c>
      <c r="D172" s="11">
        <v>12.99</v>
      </c>
      <c r="E172" s="10">
        <v>569.66999999999996</v>
      </c>
      <c r="F172" s="10" t="s">
        <v>10</v>
      </c>
      <c r="G172" s="10" t="s">
        <v>44</v>
      </c>
      <c r="H172" s="10" t="s">
        <v>36</v>
      </c>
      <c r="I172" s="10" t="s">
        <v>20</v>
      </c>
      <c r="J172" s="11">
        <f>'Cleaned Data'!$D172*'Cleaned Data'!$E172</f>
        <v>7400.0132999999996</v>
      </c>
      <c r="K172" s="12" t="str">
        <f>IF('Cleaned Data'!$E172&gt;500,"High Quantity","Low Quantity")</f>
        <v>High Quantity</v>
      </c>
      <c r="L172" t="str">
        <f t="shared" si="2"/>
        <v>December</v>
      </c>
    </row>
    <row r="173" spans="1:12" x14ac:dyDescent="0.25">
      <c r="A173" s="13">
        <v>10631</v>
      </c>
      <c r="B173" s="32">
        <v>44908</v>
      </c>
      <c r="C173" s="14" t="s">
        <v>25</v>
      </c>
      <c r="D173" s="15">
        <v>9.9499999999999993</v>
      </c>
      <c r="E173" s="14">
        <v>201.01</v>
      </c>
      <c r="F173" s="14" t="s">
        <v>10</v>
      </c>
      <c r="G173" s="14" t="s">
        <v>11</v>
      </c>
      <c r="H173" s="14" t="s">
        <v>36</v>
      </c>
      <c r="I173" s="14" t="s">
        <v>20</v>
      </c>
      <c r="J173" s="15">
        <f>'Cleaned Data'!$D173*'Cleaned Data'!$E173</f>
        <v>2000.0494999999999</v>
      </c>
      <c r="K173" s="16" t="str">
        <f>IF('Cleaned Data'!$E173&gt;500,"High Quantity","Low Quantity")</f>
        <v>Low Quantity</v>
      </c>
      <c r="L173" t="str">
        <f t="shared" si="2"/>
        <v>December</v>
      </c>
    </row>
    <row r="174" spans="1:12" x14ac:dyDescent="0.25">
      <c r="A174" s="9">
        <v>10632</v>
      </c>
      <c r="B174" s="31">
        <v>44908</v>
      </c>
      <c r="C174" s="10" t="s">
        <v>9</v>
      </c>
      <c r="D174" s="11">
        <v>3.49</v>
      </c>
      <c r="E174" s="10">
        <v>630.37</v>
      </c>
      <c r="F174" s="10" t="s">
        <v>10</v>
      </c>
      <c r="G174" s="10" t="s">
        <v>11</v>
      </c>
      <c r="H174" s="10" t="s">
        <v>36</v>
      </c>
      <c r="I174" s="10" t="s">
        <v>20</v>
      </c>
      <c r="J174" s="11">
        <f>'Cleaned Data'!$D174*'Cleaned Data'!$E174</f>
        <v>2199.9913000000001</v>
      </c>
      <c r="K174" s="12" t="str">
        <f>IF('Cleaned Data'!$E174&gt;500,"High Quantity","Low Quantity")</f>
        <v>High Quantity</v>
      </c>
      <c r="L174" t="str">
        <f t="shared" si="2"/>
        <v>December</v>
      </c>
    </row>
    <row r="175" spans="1:12" x14ac:dyDescent="0.25">
      <c r="A175" s="13">
        <v>10633</v>
      </c>
      <c r="B175" s="32">
        <v>44908</v>
      </c>
      <c r="C175" s="14" t="s">
        <v>14</v>
      </c>
      <c r="D175" s="15">
        <v>2.95</v>
      </c>
      <c r="E175" s="14">
        <v>677.97</v>
      </c>
      <c r="F175" s="14" t="s">
        <v>10</v>
      </c>
      <c r="G175" s="14" t="s">
        <v>11</v>
      </c>
      <c r="H175" s="14" t="s">
        <v>36</v>
      </c>
      <c r="I175" s="14" t="s">
        <v>20</v>
      </c>
      <c r="J175" s="15">
        <f>'Cleaned Data'!$D175*'Cleaned Data'!$E175</f>
        <v>2000.0115000000003</v>
      </c>
      <c r="K175" s="16" t="str">
        <f>IF('Cleaned Data'!$E175&gt;500,"High Quantity","Low Quantity")</f>
        <v>High Quantity</v>
      </c>
      <c r="L175" t="str">
        <f t="shared" si="2"/>
        <v>December</v>
      </c>
    </row>
    <row r="176" spans="1:12" x14ac:dyDescent="0.25">
      <c r="A176" s="9">
        <v>10634</v>
      </c>
      <c r="B176" s="31">
        <v>44908</v>
      </c>
      <c r="C176" s="10" t="s">
        <v>17</v>
      </c>
      <c r="D176" s="11">
        <v>4.99</v>
      </c>
      <c r="E176" s="10">
        <v>200.4</v>
      </c>
      <c r="F176" s="10" t="s">
        <v>10</v>
      </c>
      <c r="G176" s="10" t="s">
        <v>11</v>
      </c>
      <c r="H176" s="10" t="s">
        <v>36</v>
      </c>
      <c r="I176" s="10" t="s">
        <v>20</v>
      </c>
      <c r="J176" s="11">
        <f>'Cleaned Data'!$D176*'Cleaned Data'!$E176</f>
        <v>999.99600000000009</v>
      </c>
      <c r="K176" s="12" t="str">
        <f>IF('Cleaned Data'!$E176&gt;500,"High Quantity","Low Quantity")</f>
        <v>Low Quantity</v>
      </c>
      <c r="L176" t="str">
        <f t="shared" si="2"/>
        <v>December</v>
      </c>
    </row>
    <row r="177" spans="1:12" x14ac:dyDescent="0.25">
      <c r="A177" s="13">
        <v>10635</v>
      </c>
      <c r="B177" s="32">
        <v>44909</v>
      </c>
      <c r="C177" s="14" t="s">
        <v>21</v>
      </c>
      <c r="D177" s="15">
        <v>12.99</v>
      </c>
      <c r="E177" s="14">
        <v>554.27</v>
      </c>
      <c r="F177" s="14" t="s">
        <v>10</v>
      </c>
      <c r="G177" s="14" t="s">
        <v>11</v>
      </c>
      <c r="H177" s="14" t="s">
        <v>36</v>
      </c>
      <c r="I177" s="14" t="s">
        <v>20</v>
      </c>
      <c r="J177" s="15">
        <f>'Cleaned Data'!$D177*'Cleaned Data'!$E177</f>
        <v>7199.9673000000003</v>
      </c>
      <c r="K177" s="16" t="str">
        <f>IF('Cleaned Data'!$E177&gt;500,"High Quantity","Low Quantity")</f>
        <v>High Quantity</v>
      </c>
      <c r="L177" t="str">
        <f t="shared" si="2"/>
        <v>December</v>
      </c>
    </row>
    <row r="178" spans="1:12" x14ac:dyDescent="0.25">
      <c r="A178" s="9">
        <v>10636</v>
      </c>
      <c r="B178" s="31">
        <v>44909</v>
      </c>
      <c r="C178" s="10" t="s">
        <v>25</v>
      </c>
      <c r="D178" s="11">
        <v>9.9499999999999993</v>
      </c>
      <c r="E178" s="10">
        <v>221.11</v>
      </c>
      <c r="F178" s="10" t="s">
        <v>10</v>
      </c>
      <c r="G178" s="10" t="s">
        <v>11</v>
      </c>
      <c r="H178" s="10" t="s">
        <v>36</v>
      </c>
      <c r="I178" s="10" t="s">
        <v>20</v>
      </c>
      <c r="J178" s="11">
        <f>'Cleaned Data'!$D178*'Cleaned Data'!$E178</f>
        <v>2200.0445</v>
      </c>
      <c r="K178" s="12" t="str">
        <f>IF('Cleaned Data'!$E178&gt;500,"High Quantity","Low Quantity")</f>
        <v>Low Quantity</v>
      </c>
      <c r="L178" t="str">
        <f t="shared" si="2"/>
        <v>December</v>
      </c>
    </row>
    <row r="179" spans="1:12" x14ac:dyDescent="0.25">
      <c r="A179" s="13">
        <v>10637</v>
      </c>
      <c r="B179" s="32">
        <v>44909</v>
      </c>
      <c r="C179" s="14" t="s">
        <v>9</v>
      </c>
      <c r="D179" s="15">
        <v>3.49</v>
      </c>
      <c r="E179" s="14">
        <v>630.37</v>
      </c>
      <c r="F179" s="14" t="s">
        <v>10</v>
      </c>
      <c r="G179" s="14" t="s">
        <v>11</v>
      </c>
      <c r="H179" s="14" t="s">
        <v>36</v>
      </c>
      <c r="I179" s="14" t="s">
        <v>20</v>
      </c>
      <c r="J179" s="15">
        <f>'Cleaned Data'!$D179*'Cleaned Data'!$E179</f>
        <v>2199.9913000000001</v>
      </c>
      <c r="K179" s="16" t="str">
        <f>IF('Cleaned Data'!$E179&gt;500,"High Quantity","Low Quantity")</f>
        <v>High Quantity</v>
      </c>
      <c r="L179" t="str">
        <f t="shared" si="2"/>
        <v>December</v>
      </c>
    </row>
    <row r="180" spans="1:12" x14ac:dyDescent="0.25">
      <c r="A180" s="9">
        <v>10638</v>
      </c>
      <c r="B180" s="31">
        <v>44909</v>
      </c>
      <c r="C180" s="10" t="s">
        <v>14</v>
      </c>
      <c r="D180" s="11">
        <v>2.95</v>
      </c>
      <c r="E180" s="10">
        <v>677.97</v>
      </c>
      <c r="F180" s="10" t="s">
        <v>10</v>
      </c>
      <c r="G180" s="10" t="s">
        <v>11</v>
      </c>
      <c r="H180" s="10" t="s">
        <v>36</v>
      </c>
      <c r="I180" s="10" t="s">
        <v>20</v>
      </c>
      <c r="J180" s="11">
        <f>'Cleaned Data'!$D180*'Cleaned Data'!$E180</f>
        <v>2000.0115000000003</v>
      </c>
      <c r="K180" s="12" t="str">
        <f>IF('Cleaned Data'!$E180&gt;500,"High Quantity","Low Quantity")</f>
        <v>High Quantity</v>
      </c>
      <c r="L180" t="str">
        <f t="shared" si="2"/>
        <v>December</v>
      </c>
    </row>
    <row r="181" spans="1:12" x14ac:dyDescent="0.25">
      <c r="A181" s="13">
        <v>10639</v>
      </c>
      <c r="B181" s="32">
        <v>44909</v>
      </c>
      <c r="C181" s="14" t="s">
        <v>17</v>
      </c>
      <c r="D181" s="15">
        <v>4.99</v>
      </c>
      <c r="E181" s="14">
        <v>200.4</v>
      </c>
      <c r="F181" s="14" t="s">
        <v>10</v>
      </c>
      <c r="G181" s="14" t="s">
        <v>11</v>
      </c>
      <c r="H181" s="14" t="s">
        <v>36</v>
      </c>
      <c r="I181" s="14" t="s">
        <v>20</v>
      </c>
      <c r="J181" s="15">
        <f>'Cleaned Data'!$D181*'Cleaned Data'!$E181</f>
        <v>999.99600000000009</v>
      </c>
      <c r="K181" s="16" t="str">
        <f>IF('Cleaned Data'!$E181&gt;500,"High Quantity","Low Quantity")</f>
        <v>Low Quantity</v>
      </c>
      <c r="L181" t="str">
        <f t="shared" si="2"/>
        <v>December</v>
      </c>
    </row>
    <row r="182" spans="1:12" x14ac:dyDescent="0.25">
      <c r="A182" s="9">
        <v>10640</v>
      </c>
      <c r="B182" s="31">
        <v>44910</v>
      </c>
      <c r="C182" s="10" t="s">
        <v>21</v>
      </c>
      <c r="D182" s="11">
        <v>12.99</v>
      </c>
      <c r="E182" s="10">
        <v>538.88</v>
      </c>
      <c r="F182" s="10" t="s">
        <v>10</v>
      </c>
      <c r="G182" s="10" t="s">
        <v>11</v>
      </c>
      <c r="H182" s="10" t="s">
        <v>36</v>
      </c>
      <c r="I182" s="10" t="s">
        <v>20</v>
      </c>
      <c r="J182" s="11">
        <f>'Cleaned Data'!$D182*'Cleaned Data'!$E182</f>
        <v>7000.0511999999999</v>
      </c>
      <c r="K182" s="12" t="str">
        <f>IF('Cleaned Data'!$E182&gt;500,"High Quantity","Low Quantity")</f>
        <v>High Quantity</v>
      </c>
      <c r="L182" t="str">
        <f t="shared" si="2"/>
        <v>December</v>
      </c>
    </row>
    <row r="183" spans="1:12" x14ac:dyDescent="0.25">
      <c r="A183" s="13">
        <v>10641</v>
      </c>
      <c r="B183" s="32">
        <v>44910</v>
      </c>
      <c r="C183" s="14" t="s">
        <v>25</v>
      </c>
      <c r="D183" s="15">
        <v>9.9499999999999993</v>
      </c>
      <c r="E183" s="14">
        <v>221.11</v>
      </c>
      <c r="F183" s="14" t="s">
        <v>10</v>
      </c>
      <c r="G183" s="14" t="s">
        <v>11</v>
      </c>
      <c r="H183" s="14" t="s">
        <v>36</v>
      </c>
      <c r="I183" s="14" t="s">
        <v>20</v>
      </c>
      <c r="J183" s="15">
        <f>'Cleaned Data'!$D183*'Cleaned Data'!$E183</f>
        <v>2200.0445</v>
      </c>
      <c r="K183" s="16" t="str">
        <f>IF('Cleaned Data'!$E183&gt;500,"High Quantity","Low Quantity")</f>
        <v>Low Quantity</v>
      </c>
      <c r="L183" t="str">
        <f t="shared" si="2"/>
        <v>December</v>
      </c>
    </row>
    <row r="184" spans="1:12" x14ac:dyDescent="0.25">
      <c r="A184" s="9">
        <v>10642</v>
      </c>
      <c r="B184" s="31">
        <v>44910</v>
      </c>
      <c r="C184" s="10" t="s">
        <v>9</v>
      </c>
      <c r="D184" s="11">
        <v>3.49</v>
      </c>
      <c r="E184" s="10">
        <v>630.37</v>
      </c>
      <c r="F184" s="10" t="s">
        <v>10</v>
      </c>
      <c r="G184" s="10" t="s">
        <v>44</v>
      </c>
      <c r="H184" s="10" t="s">
        <v>36</v>
      </c>
      <c r="I184" s="10" t="s">
        <v>20</v>
      </c>
      <c r="J184" s="11">
        <f>'Cleaned Data'!$D184*'Cleaned Data'!$E184</f>
        <v>2199.9913000000001</v>
      </c>
      <c r="K184" s="12" t="str">
        <f>IF('Cleaned Data'!$E184&gt;500,"High Quantity","Low Quantity")</f>
        <v>High Quantity</v>
      </c>
      <c r="L184" t="str">
        <f t="shared" si="2"/>
        <v>December</v>
      </c>
    </row>
    <row r="185" spans="1:12" x14ac:dyDescent="0.25">
      <c r="A185" s="13">
        <v>10643</v>
      </c>
      <c r="B185" s="32">
        <v>44910</v>
      </c>
      <c r="C185" s="14" t="s">
        <v>14</v>
      </c>
      <c r="D185" s="15">
        <v>2.95</v>
      </c>
      <c r="E185" s="14">
        <v>677.97</v>
      </c>
      <c r="F185" s="14" t="s">
        <v>10</v>
      </c>
      <c r="G185" s="14" t="s">
        <v>44</v>
      </c>
      <c r="H185" s="14" t="s">
        <v>36</v>
      </c>
      <c r="I185" s="14" t="s">
        <v>20</v>
      </c>
      <c r="J185" s="15">
        <f>'Cleaned Data'!$D185*'Cleaned Data'!$E185</f>
        <v>2000.0115000000003</v>
      </c>
      <c r="K185" s="16" t="str">
        <f>IF('Cleaned Data'!$E185&gt;500,"High Quantity","Low Quantity")</f>
        <v>High Quantity</v>
      </c>
      <c r="L185" t="str">
        <f t="shared" si="2"/>
        <v>December</v>
      </c>
    </row>
    <row r="186" spans="1:12" x14ac:dyDescent="0.25">
      <c r="A186" s="9">
        <v>10644</v>
      </c>
      <c r="B186" s="31">
        <v>44910</v>
      </c>
      <c r="C186" s="10" t="s">
        <v>17</v>
      </c>
      <c r="D186" s="11">
        <v>4.99</v>
      </c>
      <c r="E186" s="10">
        <v>200.4</v>
      </c>
      <c r="F186" s="10" t="s">
        <v>10</v>
      </c>
      <c r="G186" s="10" t="s">
        <v>44</v>
      </c>
      <c r="H186" s="10" t="s">
        <v>36</v>
      </c>
      <c r="I186" s="10" t="s">
        <v>20</v>
      </c>
      <c r="J186" s="11">
        <f>'Cleaned Data'!$D186*'Cleaned Data'!$E186</f>
        <v>999.99600000000009</v>
      </c>
      <c r="K186" s="12" t="str">
        <f>IF('Cleaned Data'!$E186&gt;500,"High Quantity","Low Quantity")</f>
        <v>Low Quantity</v>
      </c>
      <c r="L186" t="str">
        <f t="shared" si="2"/>
        <v>December</v>
      </c>
    </row>
    <row r="187" spans="1:12" x14ac:dyDescent="0.25">
      <c r="A187" s="13">
        <v>10645</v>
      </c>
      <c r="B187" s="32">
        <v>44911</v>
      </c>
      <c r="C187" s="14" t="s">
        <v>21</v>
      </c>
      <c r="D187" s="15">
        <v>12.99</v>
      </c>
      <c r="E187" s="14">
        <v>569.66999999999996</v>
      </c>
      <c r="F187" s="14" t="s">
        <v>10</v>
      </c>
      <c r="G187" s="14" t="s">
        <v>44</v>
      </c>
      <c r="H187" s="14" t="s">
        <v>36</v>
      </c>
      <c r="I187" s="14" t="s">
        <v>20</v>
      </c>
      <c r="J187" s="15">
        <f>'Cleaned Data'!$D187*'Cleaned Data'!$E187</f>
        <v>7400.0132999999996</v>
      </c>
      <c r="K187" s="16" t="str">
        <f>IF('Cleaned Data'!$E187&gt;500,"High Quantity","Low Quantity")</f>
        <v>High Quantity</v>
      </c>
      <c r="L187" t="str">
        <f t="shared" si="2"/>
        <v>December</v>
      </c>
    </row>
    <row r="188" spans="1:12" x14ac:dyDescent="0.25">
      <c r="A188" s="9">
        <v>10646</v>
      </c>
      <c r="B188" s="31">
        <v>44911</v>
      </c>
      <c r="C188" s="10" t="s">
        <v>25</v>
      </c>
      <c r="D188" s="11">
        <v>9.9499999999999993</v>
      </c>
      <c r="E188" s="10">
        <v>221.11</v>
      </c>
      <c r="F188" s="10" t="s">
        <v>10</v>
      </c>
      <c r="G188" s="10" t="s">
        <v>44</v>
      </c>
      <c r="H188" s="10" t="s">
        <v>36</v>
      </c>
      <c r="I188" s="10" t="s">
        <v>20</v>
      </c>
      <c r="J188" s="11">
        <f>'Cleaned Data'!$D188*'Cleaned Data'!$E188</f>
        <v>2200.0445</v>
      </c>
      <c r="K188" s="12" t="str">
        <f>IF('Cleaned Data'!$E188&gt;500,"High Quantity","Low Quantity")</f>
        <v>Low Quantity</v>
      </c>
      <c r="L188" t="str">
        <f t="shared" si="2"/>
        <v>December</v>
      </c>
    </row>
    <row r="189" spans="1:12" x14ac:dyDescent="0.25">
      <c r="A189" s="13">
        <v>10647</v>
      </c>
      <c r="B189" s="32">
        <v>44911</v>
      </c>
      <c r="C189" s="14" t="s">
        <v>9</v>
      </c>
      <c r="D189" s="15">
        <v>3.49</v>
      </c>
      <c r="E189" s="14">
        <v>630.37</v>
      </c>
      <c r="F189" s="14" t="s">
        <v>10</v>
      </c>
      <c r="G189" s="14" t="s">
        <v>11</v>
      </c>
      <c r="H189" s="14" t="s">
        <v>36</v>
      </c>
      <c r="I189" s="14" t="s">
        <v>20</v>
      </c>
      <c r="J189" s="15">
        <f>'Cleaned Data'!$D189*'Cleaned Data'!$E189</f>
        <v>2199.9913000000001</v>
      </c>
      <c r="K189" s="16" t="str">
        <f>IF('Cleaned Data'!$E189&gt;500,"High Quantity","Low Quantity")</f>
        <v>High Quantity</v>
      </c>
      <c r="L189" t="str">
        <f t="shared" si="2"/>
        <v>December</v>
      </c>
    </row>
    <row r="190" spans="1:12" x14ac:dyDescent="0.25">
      <c r="A190" s="9">
        <v>10648</v>
      </c>
      <c r="B190" s="31">
        <v>44911</v>
      </c>
      <c r="C190" s="10" t="s">
        <v>14</v>
      </c>
      <c r="D190" s="11">
        <v>2.95</v>
      </c>
      <c r="E190" s="10">
        <v>745.76</v>
      </c>
      <c r="F190" s="10" t="s">
        <v>10</v>
      </c>
      <c r="G190" s="10" t="s">
        <v>11</v>
      </c>
      <c r="H190" s="10" t="s">
        <v>36</v>
      </c>
      <c r="I190" s="10" t="s">
        <v>20</v>
      </c>
      <c r="J190" s="11">
        <f>'Cleaned Data'!$D190*'Cleaned Data'!$E190</f>
        <v>2199.9920000000002</v>
      </c>
      <c r="K190" s="12" t="str">
        <f>IF('Cleaned Data'!$E190&gt;500,"High Quantity","Low Quantity")</f>
        <v>High Quantity</v>
      </c>
      <c r="L190" t="str">
        <f t="shared" si="2"/>
        <v>December</v>
      </c>
    </row>
    <row r="191" spans="1:12" x14ac:dyDescent="0.25">
      <c r="A191" s="13">
        <v>10649</v>
      </c>
      <c r="B191" s="32">
        <v>44911</v>
      </c>
      <c r="C191" s="14" t="s">
        <v>17</v>
      </c>
      <c r="D191" s="15">
        <v>4.99</v>
      </c>
      <c r="E191" s="14">
        <v>200.4</v>
      </c>
      <c r="F191" s="14" t="s">
        <v>10</v>
      </c>
      <c r="G191" s="14" t="s">
        <v>11</v>
      </c>
      <c r="H191" s="14" t="s">
        <v>36</v>
      </c>
      <c r="I191" s="14" t="s">
        <v>20</v>
      </c>
      <c r="J191" s="15">
        <f>'Cleaned Data'!$D191*'Cleaned Data'!$E191</f>
        <v>999.99600000000009</v>
      </c>
      <c r="K191" s="16" t="str">
        <f>IF('Cleaned Data'!$E191&gt;500,"High Quantity","Low Quantity")</f>
        <v>Low Quantity</v>
      </c>
      <c r="L191" t="str">
        <f t="shared" si="2"/>
        <v>December</v>
      </c>
    </row>
    <row r="192" spans="1:12" x14ac:dyDescent="0.25">
      <c r="A192" s="9">
        <v>10650</v>
      </c>
      <c r="B192" s="31">
        <v>44912</v>
      </c>
      <c r="C192" s="10" t="s">
        <v>21</v>
      </c>
      <c r="D192" s="11">
        <v>12.99</v>
      </c>
      <c r="E192" s="10">
        <v>585.07000000000005</v>
      </c>
      <c r="F192" s="10" t="s">
        <v>10</v>
      </c>
      <c r="G192" s="10" t="s">
        <v>11</v>
      </c>
      <c r="H192" s="10" t="s">
        <v>36</v>
      </c>
      <c r="I192" s="10" t="s">
        <v>20</v>
      </c>
      <c r="J192" s="11">
        <f>'Cleaned Data'!$D192*'Cleaned Data'!$E192</f>
        <v>7600.0593000000008</v>
      </c>
      <c r="K192" s="12" t="str">
        <f>IF('Cleaned Data'!$E192&gt;500,"High Quantity","Low Quantity")</f>
        <v>High Quantity</v>
      </c>
      <c r="L192" t="str">
        <f t="shared" si="2"/>
        <v>December</v>
      </c>
    </row>
    <row r="193" spans="1:12" x14ac:dyDescent="0.25">
      <c r="A193" s="13">
        <v>10651</v>
      </c>
      <c r="B193" s="32">
        <v>44912</v>
      </c>
      <c r="C193" s="14" t="s">
        <v>25</v>
      </c>
      <c r="D193" s="15">
        <v>9.9499999999999993</v>
      </c>
      <c r="E193" s="14">
        <v>221.11</v>
      </c>
      <c r="F193" s="14" t="s">
        <v>10</v>
      </c>
      <c r="G193" s="14" t="s">
        <v>11</v>
      </c>
      <c r="H193" s="14" t="s">
        <v>36</v>
      </c>
      <c r="I193" s="14" t="s">
        <v>20</v>
      </c>
      <c r="J193" s="15">
        <f>'Cleaned Data'!$D193*'Cleaned Data'!$E193</f>
        <v>2200.0445</v>
      </c>
      <c r="K193" s="16" t="str">
        <f>IF('Cleaned Data'!$E193&gt;500,"High Quantity","Low Quantity")</f>
        <v>Low Quantity</v>
      </c>
      <c r="L193" t="str">
        <f t="shared" si="2"/>
        <v>December</v>
      </c>
    </row>
    <row r="194" spans="1:12" x14ac:dyDescent="0.25">
      <c r="A194" s="9">
        <v>10652</v>
      </c>
      <c r="B194" s="31">
        <v>44912</v>
      </c>
      <c r="C194" s="10" t="s">
        <v>9</v>
      </c>
      <c r="D194" s="11">
        <v>3.49</v>
      </c>
      <c r="E194" s="10">
        <v>687.68</v>
      </c>
      <c r="F194" s="10" t="s">
        <v>10</v>
      </c>
      <c r="G194" s="10" t="s">
        <v>11</v>
      </c>
      <c r="H194" s="10" t="s">
        <v>36</v>
      </c>
      <c r="I194" s="10" t="s">
        <v>20</v>
      </c>
      <c r="J194" s="11">
        <f>'Cleaned Data'!$D194*'Cleaned Data'!$E194</f>
        <v>2400.0032000000001</v>
      </c>
      <c r="K194" s="12" t="str">
        <f>IF('Cleaned Data'!$E194&gt;500,"High Quantity","Low Quantity")</f>
        <v>High Quantity</v>
      </c>
      <c r="L194" t="str">
        <f t="shared" si="2"/>
        <v>December</v>
      </c>
    </row>
    <row r="195" spans="1:12" x14ac:dyDescent="0.25">
      <c r="A195" s="13">
        <v>10653</v>
      </c>
      <c r="B195" s="32">
        <v>44912</v>
      </c>
      <c r="C195" s="14" t="s">
        <v>14</v>
      </c>
      <c r="D195" s="15">
        <v>2.95</v>
      </c>
      <c r="E195" s="14">
        <v>745.76</v>
      </c>
      <c r="F195" s="14" t="s">
        <v>10</v>
      </c>
      <c r="G195" s="14" t="s">
        <v>11</v>
      </c>
      <c r="H195" s="14" t="s">
        <v>36</v>
      </c>
      <c r="I195" s="14" t="s">
        <v>20</v>
      </c>
      <c r="J195" s="15">
        <f>'Cleaned Data'!$D195*'Cleaned Data'!$E195</f>
        <v>2199.9920000000002</v>
      </c>
      <c r="K195" s="16" t="str">
        <f>IF('Cleaned Data'!$E195&gt;500,"High Quantity","Low Quantity")</f>
        <v>High Quantity</v>
      </c>
      <c r="L195" t="str">
        <f t="shared" ref="L195:L255" si="3">TEXT(B195,"mmmm")</f>
        <v>December</v>
      </c>
    </row>
    <row r="196" spans="1:12" x14ac:dyDescent="0.25">
      <c r="A196" s="9">
        <v>10654</v>
      </c>
      <c r="B196" s="31">
        <v>44912</v>
      </c>
      <c r="C196" s="10" t="s">
        <v>17</v>
      </c>
      <c r="D196" s="11">
        <v>4.99</v>
      </c>
      <c r="E196" s="10">
        <v>200.4</v>
      </c>
      <c r="F196" s="10" t="s">
        <v>10</v>
      </c>
      <c r="G196" s="10" t="s">
        <v>11</v>
      </c>
      <c r="H196" s="10" t="s">
        <v>36</v>
      </c>
      <c r="I196" s="10" t="s">
        <v>20</v>
      </c>
      <c r="J196" s="11">
        <f>'Cleaned Data'!$D196*'Cleaned Data'!$E196</f>
        <v>999.99600000000009</v>
      </c>
      <c r="K196" s="12" t="str">
        <f>IF('Cleaned Data'!$E196&gt;500,"High Quantity","Low Quantity")</f>
        <v>Low Quantity</v>
      </c>
      <c r="L196" t="str">
        <f t="shared" si="3"/>
        <v>December</v>
      </c>
    </row>
    <row r="197" spans="1:12" x14ac:dyDescent="0.25">
      <c r="A197" s="13">
        <v>10655</v>
      </c>
      <c r="B197" s="32">
        <v>44913</v>
      </c>
      <c r="C197" s="14" t="s">
        <v>21</v>
      </c>
      <c r="D197" s="15">
        <v>12.99</v>
      </c>
      <c r="E197" s="14">
        <v>600.46</v>
      </c>
      <c r="F197" s="14" t="s">
        <v>10</v>
      </c>
      <c r="G197" s="14" t="s">
        <v>11</v>
      </c>
      <c r="H197" s="14" t="s">
        <v>36</v>
      </c>
      <c r="I197" s="14" t="s">
        <v>20</v>
      </c>
      <c r="J197" s="15">
        <f>'Cleaned Data'!$D197*'Cleaned Data'!$E197</f>
        <v>7799.9754000000003</v>
      </c>
      <c r="K197" s="16" t="str">
        <f>IF('Cleaned Data'!$E197&gt;500,"High Quantity","Low Quantity")</f>
        <v>High Quantity</v>
      </c>
      <c r="L197" t="str">
        <f t="shared" si="3"/>
        <v>December</v>
      </c>
    </row>
    <row r="198" spans="1:12" x14ac:dyDescent="0.25">
      <c r="A198" s="9">
        <v>10656</v>
      </c>
      <c r="B198" s="31">
        <v>44913</v>
      </c>
      <c r="C198" s="10" t="s">
        <v>25</v>
      </c>
      <c r="D198" s="11">
        <v>9.9499999999999993</v>
      </c>
      <c r="E198" s="10">
        <v>221.11</v>
      </c>
      <c r="F198" s="10" t="s">
        <v>10</v>
      </c>
      <c r="G198" s="10" t="s">
        <v>11</v>
      </c>
      <c r="H198" s="10" t="s">
        <v>36</v>
      </c>
      <c r="I198" s="10" t="s">
        <v>20</v>
      </c>
      <c r="J198" s="11">
        <f>'Cleaned Data'!$D198*'Cleaned Data'!$E198</f>
        <v>2200.0445</v>
      </c>
      <c r="K198" s="12" t="str">
        <f>IF('Cleaned Data'!$E198&gt;500,"High Quantity","Low Quantity")</f>
        <v>Low Quantity</v>
      </c>
      <c r="L198" t="str">
        <f t="shared" si="3"/>
        <v>December</v>
      </c>
    </row>
    <row r="199" spans="1:12" x14ac:dyDescent="0.25">
      <c r="A199" s="13">
        <v>10657</v>
      </c>
      <c r="B199" s="32">
        <v>44913</v>
      </c>
      <c r="C199" s="14" t="s">
        <v>9</v>
      </c>
      <c r="D199" s="15">
        <v>3.49</v>
      </c>
      <c r="E199" s="14">
        <v>687.68</v>
      </c>
      <c r="F199" s="14" t="s">
        <v>10</v>
      </c>
      <c r="G199" s="14" t="s">
        <v>11</v>
      </c>
      <c r="H199" s="14" t="s">
        <v>36</v>
      </c>
      <c r="I199" s="14" t="s">
        <v>20</v>
      </c>
      <c r="J199" s="15">
        <f>'Cleaned Data'!$D199*'Cleaned Data'!$E199</f>
        <v>2400.0032000000001</v>
      </c>
      <c r="K199" s="16" t="str">
        <f>IF('Cleaned Data'!$E199&gt;500,"High Quantity","Low Quantity")</f>
        <v>High Quantity</v>
      </c>
      <c r="L199" t="str">
        <f t="shared" si="3"/>
        <v>December</v>
      </c>
    </row>
    <row r="200" spans="1:12" x14ac:dyDescent="0.25">
      <c r="A200" s="9">
        <v>10658</v>
      </c>
      <c r="B200" s="31">
        <v>44913</v>
      </c>
      <c r="C200" s="10" t="s">
        <v>14</v>
      </c>
      <c r="D200" s="11">
        <v>2.95</v>
      </c>
      <c r="E200" s="10">
        <v>745.76</v>
      </c>
      <c r="F200" s="10" t="s">
        <v>10</v>
      </c>
      <c r="G200" s="10" t="s">
        <v>44</v>
      </c>
      <c r="H200" s="10" t="s">
        <v>36</v>
      </c>
      <c r="I200" s="10" t="s">
        <v>20</v>
      </c>
      <c r="J200" s="11">
        <f>'Cleaned Data'!$D200*'Cleaned Data'!$E200</f>
        <v>2199.9920000000002</v>
      </c>
      <c r="K200" s="12" t="str">
        <f>IF('Cleaned Data'!$E200&gt;500,"High Quantity","Low Quantity")</f>
        <v>High Quantity</v>
      </c>
      <c r="L200" t="str">
        <f t="shared" si="3"/>
        <v>December</v>
      </c>
    </row>
    <row r="201" spans="1:12" x14ac:dyDescent="0.25">
      <c r="A201" s="13">
        <v>10659</v>
      </c>
      <c r="B201" s="32">
        <v>44913</v>
      </c>
      <c r="C201" s="14" t="s">
        <v>17</v>
      </c>
      <c r="D201" s="15">
        <v>4.99</v>
      </c>
      <c r="E201" s="14">
        <v>200.4</v>
      </c>
      <c r="F201" s="14" t="s">
        <v>10</v>
      </c>
      <c r="G201" s="14" t="s">
        <v>44</v>
      </c>
      <c r="H201" s="14" t="s">
        <v>36</v>
      </c>
      <c r="I201" s="14" t="s">
        <v>20</v>
      </c>
      <c r="J201" s="15">
        <f>'Cleaned Data'!$D201*'Cleaned Data'!$E201</f>
        <v>999.99600000000009</v>
      </c>
      <c r="K201" s="16" t="str">
        <f>IF('Cleaned Data'!$E201&gt;500,"High Quantity","Low Quantity")</f>
        <v>Low Quantity</v>
      </c>
      <c r="L201" t="str">
        <f t="shared" si="3"/>
        <v>December</v>
      </c>
    </row>
    <row r="202" spans="1:12" x14ac:dyDescent="0.25">
      <c r="A202" s="9">
        <v>10660</v>
      </c>
      <c r="B202" s="31">
        <v>44914</v>
      </c>
      <c r="C202" s="10" t="s">
        <v>21</v>
      </c>
      <c r="D202" s="11">
        <v>12.99</v>
      </c>
      <c r="E202" s="10">
        <v>631.25</v>
      </c>
      <c r="F202" s="10" t="s">
        <v>18</v>
      </c>
      <c r="G202" s="10" t="s">
        <v>44</v>
      </c>
      <c r="H202" s="10" t="s">
        <v>36</v>
      </c>
      <c r="I202" s="10" t="s">
        <v>20</v>
      </c>
      <c r="J202" s="11">
        <f>'Cleaned Data'!$D202*'Cleaned Data'!$E202</f>
        <v>8199.9375</v>
      </c>
      <c r="K202" s="12" t="str">
        <f>IF('Cleaned Data'!$E202&gt;500,"High Quantity","Low Quantity")</f>
        <v>High Quantity</v>
      </c>
      <c r="L202" t="str">
        <f t="shared" si="3"/>
        <v>December</v>
      </c>
    </row>
    <row r="203" spans="1:12" x14ac:dyDescent="0.25">
      <c r="A203" s="13">
        <v>10661</v>
      </c>
      <c r="B203" s="32">
        <v>44914</v>
      </c>
      <c r="C203" s="14" t="s">
        <v>25</v>
      </c>
      <c r="D203" s="15">
        <v>9.9499999999999993</v>
      </c>
      <c r="E203" s="14">
        <v>221.11</v>
      </c>
      <c r="F203" s="14" t="s">
        <v>18</v>
      </c>
      <c r="G203" s="14" t="s">
        <v>44</v>
      </c>
      <c r="H203" s="14" t="s">
        <v>36</v>
      </c>
      <c r="I203" s="14" t="s">
        <v>20</v>
      </c>
      <c r="J203" s="15">
        <f>'Cleaned Data'!$D203*'Cleaned Data'!$E203</f>
        <v>2200.0445</v>
      </c>
      <c r="K203" s="16" t="str">
        <f>IF('Cleaned Data'!$E203&gt;500,"High Quantity","Low Quantity")</f>
        <v>Low Quantity</v>
      </c>
      <c r="L203" t="str">
        <f t="shared" si="3"/>
        <v>December</v>
      </c>
    </row>
    <row r="204" spans="1:12" x14ac:dyDescent="0.25">
      <c r="A204" s="9">
        <v>10662</v>
      </c>
      <c r="B204" s="31">
        <v>44914</v>
      </c>
      <c r="C204" s="10" t="s">
        <v>9</v>
      </c>
      <c r="D204" s="11">
        <v>3.49</v>
      </c>
      <c r="E204" s="10">
        <v>630.37</v>
      </c>
      <c r="F204" s="10" t="s">
        <v>18</v>
      </c>
      <c r="G204" s="10" t="s">
        <v>44</v>
      </c>
      <c r="H204" s="10" t="s">
        <v>36</v>
      </c>
      <c r="I204" s="10" t="s">
        <v>20</v>
      </c>
      <c r="J204" s="11">
        <f>'Cleaned Data'!$D204*'Cleaned Data'!$E204</f>
        <v>2199.9913000000001</v>
      </c>
      <c r="K204" s="12" t="str">
        <f>IF('Cleaned Data'!$E204&gt;500,"High Quantity","Low Quantity")</f>
        <v>High Quantity</v>
      </c>
      <c r="L204" t="str">
        <f t="shared" si="3"/>
        <v>December</v>
      </c>
    </row>
    <row r="205" spans="1:12" x14ac:dyDescent="0.25">
      <c r="A205" s="13">
        <v>10663</v>
      </c>
      <c r="B205" s="32">
        <v>44914</v>
      </c>
      <c r="C205" s="14" t="s">
        <v>14</v>
      </c>
      <c r="D205" s="15">
        <v>2.95</v>
      </c>
      <c r="E205" s="14">
        <v>745.76</v>
      </c>
      <c r="F205" s="14" t="s">
        <v>18</v>
      </c>
      <c r="G205" s="14" t="s">
        <v>44</v>
      </c>
      <c r="H205" s="14" t="s">
        <v>36</v>
      </c>
      <c r="I205" s="14" t="s">
        <v>20</v>
      </c>
      <c r="J205" s="15">
        <f>'Cleaned Data'!$D205*'Cleaned Data'!$E205</f>
        <v>2199.9920000000002</v>
      </c>
      <c r="K205" s="16" t="str">
        <f>IF('Cleaned Data'!$E205&gt;500,"High Quantity","Low Quantity")</f>
        <v>High Quantity</v>
      </c>
      <c r="L205" t="str">
        <f t="shared" si="3"/>
        <v>December</v>
      </c>
    </row>
    <row r="206" spans="1:12" x14ac:dyDescent="0.25">
      <c r="A206" s="9">
        <v>10664</v>
      </c>
      <c r="B206" s="31">
        <v>44914</v>
      </c>
      <c r="C206" s="10" t="s">
        <v>17</v>
      </c>
      <c r="D206" s="11">
        <v>4.99</v>
      </c>
      <c r="E206" s="10">
        <v>200.4</v>
      </c>
      <c r="F206" s="10" t="s">
        <v>18</v>
      </c>
      <c r="G206" s="10" t="s">
        <v>44</v>
      </c>
      <c r="H206" s="10" t="s">
        <v>36</v>
      </c>
      <c r="I206" s="10" t="s">
        <v>20</v>
      </c>
      <c r="J206" s="11">
        <f>'Cleaned Data'!$D206*'Cleaned Data'!$E206</f>
        <v>999.99600000000009</v>
      </c>
      <c r="K206" s="12" t="str">
        <f>IF('Cleaned Data'!$E206&gt;500,"High Quantity","Low Quantity")</f>
        <v>Low Quantity</v>
      </c>
      <c r="L206" t="str">
        <f t="shared" si="3"/>
        <v>December</v>
      </c>
    </row>
    <row r="207" spans="1:12" x14ac:dyDescent="0.25">
      <c r="A207" s="13">
        <v>10665</v>
      </c>
      <c r="B207" s="32">
        <v>44915</v>
      </c>
      <c r="C207" s="14" t="s">
        <v>21</v>
      </c>
      <c r="D207" s="15">
        <v>12.99</v>
      </c>
      <c r="E207" s="14">
        <v>646.65</v>
      </c>
      <c r="F207" s="14" t="s">
        <v>18</v>
      </c>
      <c r="G207" s="14" t="s">
        <v>44</v>
      </c>
      <c r="H207" s="14" t="s">
        <v>36</v>
      </c>
      <c r="I207" s="14" t="s">
        <v>20</v>
      </c>
      <c r="J207" s="15">
        <f>'Cleaned Data'!$D207*'Cleaned Data'!$E207</f>
        <v>8399.9835000000003</v>
      </c>
      <c r="K207" s="16" t="str">
        <f>IF('Cleaned Data'!$E207&gt;500,"High Quantity","Low Quantity")</f>
        <v>High Quantity</v>
      </c>
      <c r="L207" t="str">
        <f t="shared" si="3"/>
        <v>December</v>
      </c>
    </row>
    <row r="208" spans="1:12" x14ac:dyDescent="0.25">
      <c r="A208" s="9">
        <v>10666</v>
      </c>
      <c r="B208" s="31">
        <v>44915</v>
      </c>
      <c r="C208" s="10" t="s">
        <v>25</v>
      </c>
      <c r="D208" s="11">
        <v>9.9499999999999993</v>
      </c>
      <c r="E208" s="10">
        <v>221.11</v>
      </c>
      <c r="F208" s="10" t="s">
        <v>18</v>
      </c>
      <c r="G208" s="10" t="s">
        <v>44</v>
      </c>
      <c r="H208" s="10" t="s">
        <v>36</v>
      </c>
      <c r="I208" s="10" t="s">
        <v>20</v>
      </c>
      <c r="J208" s="11">
        <f>'Cleaned Data'!$D208*'Cleaned Data'!$E208</f>
        <v>2200.0445</v>
      </c>
      <c r="K208" s="12" t="str">
        <f>IF('Cleaned Data'!$E208&gt;500,"High Quantity","Low Quantity")</f>
        <v>Low Quantity</v>
      </c>
      <c r="L208" t="str">
        <f t="shared" si="3"/>
        <v>December</v>
      </c>
    </row>
    <row r="209" spans="1:12" x14ac:dyDescent="0.25">
      <c r="A209" s="13">
        <v>10667</v>
      </c>
      <c r="B209" s="32">
        <v>44915</v>
      </c>
      <c r="C209" s="14" t="s">
        <v>9</v>
      </c>
      <c r="D209" s="15">
        <v>3.49</v>
      </c>
      <c r="E209" s="14">
        <v>630.37</v>
      </c>
      <c r="F209" s="14" t="s">
        <v>18</v>
      </c>
      <c r="G209" s="14" t="s">
        <v>44</v>
      </c>
      <c r="H209" s="14" t="s">
        <v>36</v>
      </c>
      <c r="I209" s="14" t="s">
        <v>20</v>
      </c>
      <c r="J209" s="15">
        <f>'Cleaned Data'!$D209*'Cleaned Data'!$E209</f>
        <v>2199.9913000000001</v>
      </c>
      <c r="K209" s="16" t="str">
        <f>IF('Cleaned Data'!$E209&gt;500,"High Quantity","Low Quantity")</f>
        <v>High Quantity</v>
      </c>
      <c r="L209" t="str">
        <f t="shared" si="3"/>
        <v>December</v>
      </c>
    </row>
    <row r="210" spans="1:12" x14ac:dyDescent="0.25">
      <c r="A210" s="9">
        <v>10668</v>
      </c>
      <c r="B210" s="31">
        <v>44915</v>
      </c>
      <c r="C210" s="10" t="s">
        <v>14</v>
      </c>
      <c r="D210" s="11">
        <v>2.95</v>
      </c>
      <c r="E210" s="10">
        <v>745.76</v>
      </c>
      <c r="F210" s="10" t="s">
        <v>18</v>
      </c>
      <c r="G210" s="10" t="s">
        <v>44</v>
      </c>
      <c r="H210" s="10" t="s">
        <v>36</v>
      </c>
      <c r="I210" s="10" t="s">
        <v>20</v>
      </c>
      <c r="J210" s="11">
        <f>'Cleaned Data'!$D210*'Cleaned Data'!$E210</f>
        <v>2199.9920000000002</v>
      </c>
      <c r="K210" s="12" t="str">
        <f>IF('Cleaned Data'!$E210&gt;500,"High Quantity","Low Quantity")</f>
        <v>High Quantity</v>
      </c>
      <c r="L210" t="str">
        <f t="shared" si="3"/>
        <v>December</v>
      </c>
    </row>
    <row r="211" spans="1:12" x14ac:dyDescent="0.25">
      <c r="A211" s="13">
        <v>10669</v>
      </c>
      <c r="B211" s="32">
        <v>44915</v>
      </c>
      <c r="C211" s="14" t="s">
        <v>17</v>
      </c>
      <c r="D211" s="15">
        <v>4.99</v>
      </c>
      <c r="E211" s="14">
        <v>200.4</v>
      </c>
      <c r="F211" s="14" t="s">
        <v>18</v>
      </c>
      <c r="G211" s="14" t="s">
        <v>44</v>
      </c>
      <c r="H211" s="14" t="s">
        <v>36</v>
      </c>
      <c r="I211" s="14" t="s">
        <v>20</v>
      </c>
      <c r="J211" s="15">
        <f>'Cleaned Data'!$D211*'Cleaned Data'!$E211</f>
        <v>999.99600000000009</v>
      </c>
      <c r="K211" s="16" t="str">
        <f>IF('Cleaned Data'!$E211&gt;500,"High Quantity","Low Quantity")</f>
        <v>Low Quantity</v>
      </c>
      <c r="L211" t="str">
        <f t="shared" si="3"/>
        <v>December</v>
      </c>
    </row>
    <row r="212" spans="1:12" x14ac:dyDescent="0.25">
      <c r="A212" s="9">
        <v>10670</v>
      </c>
      <c r="B212" s="31">
        <v>44916</v>
      </c>
      <c r="C212" s="10" t="s">
        <v>21</v>
      </c>
      <c r="D212" s="11">
        <v>12.99</v>
      </c>
      <c r="E212" s="10">
        <v>677.44</v>
      </c>
      <c r="F212" s="10" t="s">
        <v>18</v>
      </c>
      <c r="G212" s="10" t="s">
        <v>44</v>
      </c>
      <c r="H212" s="10" t="s">
        <v>36</v>
      </c>
      <c r="I212" s="10" t="s">
        <v>20</v>
      </c>
      <c r="J212" s="11">
        <f>'Cleaned Data'!$D212*'Cleaned Data'!$E212</f>
        <v>8799.9456000000009</v>
      </c>
      <c r="K212" s="12" t="str">
        <f>IF('Cleaned Data'!$E212&gt;500,"High Quantity","Low Quantity")</f>
        <v>High Quantity</v>
      </c>
      <c r="L212" t="str">
        <f t="shared" si="3"/>
        <v>December</v>
      </c>
    </row>
    <row r="213" spans="1:12" x14ac:dyDescent="0.25">
      <c r="A213" s="13">
        <v>10671</v>
      </c>
      <c r="B213" s="32">
        <v>44916</v>
      </c>
      <c r="C213" s="14" t="s">
        <v>25</v>
      </c>
      <c r="D213" s="15">
        <v>9.9499999999999993</v>
      </c>
      <c r="E213" s="14">
        <v>221.11</v>
      </c>
      <c r="F213" s="14" t="s">
        <v>18</v>
      </c>
      <c r="G213" s="14" t="s">
        <v>44</v>
      </c>
      <c r="H213" s="14" t="s">
        <v>36</v>
      </c>
      <c r="I213" s="14" t="s">
        <v>20</v>
      </c>
      <c r="J213" s="15">
        <f>'Cleaned Data'!$D213*'Cleaned Data'!$E213</f>
        <v>2200.0445</v>
      </c>
      <c r="K213" s="16" t="str">
        <f>IF('Cleaned Data'!$E213&gt;500,"High Quantity","Low Quantity")</f>
        <v>Low Quantity</v>
      </c>
      <c r="L213" t="str">
        <f t="shared" si="3"/>
        <v>December</v>
      </c>
    </row>
    <row r="214" spans="1:12" x14ac:dyDescent="0.25">
      <c r="A214" s="9">
        <v>10672</v>
      </c>
      <c r="B214" s="31">
        <v>44916</v>
      </c>
      <c r="C214" s="10" t="s">
        <v>9</v>
      </c>
      <c r="D214" s="11">
        <v>3.49</v>
      </c>
      <c r="E214" s="10">
        <v>630.37</v>
      </c>
      <c r="F214" s="10" t="s">
        <v>18</v>
      </c>
      <c r="G214" s="10" t="s">
        <v>44</v>
      </c>
      <c r="H214" s="10" t="s">
        <v>36</v>
      </c>
      <c r="I214" s="10" t="s">
        <v>20</v>
      </c>
      <c r="J214" s="11">
        <f>'Cleaned Data'!$D214*'Cleaned Data'!$E214</f>
        <v>2199.9913000000001</v>
      </c>
      <c r="K214" s="12" t="str">
        <f>IF('Cleaned Data'!$E214&gt;500,"High Quantity","Low Quantity")</f>
        <v>High Quantity</v>
      </c>
      <c r="L214" t="str">
        <f t="shared" si="3"/>
        <v>December</v>
      </c>
    </row>
    <row r="215" spans="1:12" x14ac:dyDescent="0.25">
      <c r="A215" s="13">
        <v>10673</v>
      </c>
      <c r="B215" s="32">
        <v>44916</v>
      </c>
      <c r="C215" s="14" t="s">
        <v>14</v>
      </c>
      <c r="D215" s="15">
        <v>2.95</v>
      </c>
      <c r="E215" s="14">
        <v>745.76</v>
      </c>
      <c r="F215" s="14" t="s">
        <v>18</v>
      </c>
      <c r="G215" s="14" t="s">
        <v>44</v>
      </c>
      <c r="H215" s="14" t="s">
        <v>36</v>
      </c>
      <c r="I215" s="14" t="s">
        <v>20</v>
      </c>
      <c r="J215" s="15">
        <f>'Cleaned Data'!$D215*'Cleaned Data'!$E215</f>
        <v>2199.9920000000002</v>
      </c>
      <c r="K215" s="16" t="str">
        <f>IF('Cleaned Data'!$E215&gt;500,"High Quantity","Low Quantity")</f>
        <v>High Quantity</v>
      </c>
      <c r="L215" t="str">
        <f t="shared" si="3"/>
        <v>December</v>
      </c>
    </row>
    <row r="216" spans="1:12" x14ac:dyDescent="0.25">
      <c r="A216" s="9">
        <v>10674</v>
      </c>
      <c r="B216" s="31">
        <v>44916</v>
      </c>
      <c r="C216" s="10" t="s">
        <v>17</v>
      </c>
      <c r="D216" s="11">
        <v>4.99</v>
      </c>
      <c r="E216" s="10">
        <v>200.4</v>
      </c>
      <c r="F216" s="10" t="s">
        <v>18</v>
      </c>
      <c r="G216" s="10" t="s">
        <v>44</v>
      </c>
      <c r="H216" s="10" t="s">
        <v>36</v>
      </c>
      <c r="I216" s="10" t="s">
        <v>20</v>
      </c>
      <c r="J216" s="11">
        <f>'Cleaned Data'!$D216*'Cleaned Data'!$E216</f>
        <v>999.99600000000009</v>
      </c>
      <c r="K216" s="12" t="str">
        <f>IF('Cleaned Data'!$E216&gt;500,"High Quantity","Low Quantity")</f>
        <v>Low Quantity</v>
      </c>
      <c r="L216" t="str">
        <f t="shared" si="3"/>
        <v>December</v>
      </c>
    </row>
    <row r="217" spans="1:12" x14ac:dyDescent="0.25">
      <c r="A217" s="13">
        <v>10675</v>
      </c>
      <c r="B217" s="32">
        <v>44917</v>
      </c>
      <c r="C217" s="14" t="s">
        <v>21</v>
      </c>
      <c r="D217" s="15">
        <v>12.99</v>
      </c>
      <c r="E217" s="14">
        <v>677.44</v>
      </c>
      <c r="F217" s="14" t="s">
        <v>18</v>
      </c>
      <c r="G217" s="14" t="s">
        <v>44</v>
      </c>
      <c r="H217" s="14" t="s">
        <v>36</v>
      </c>
      <c r="I217" s="14" t="s">
        <v>20</v>
      </c>
      <c r="J217" s="15">
        <f>'Cleaned Data'!$D217*'Cleaned Data'!$E217</f>
        <v>8799.9456000000009</v>
      </c>
      <c r="K217" s="16" t="str">
        <f>IF('Cleaned Data'!$E217&gt;500,"High Quantity","Low Quantity")</f>
        <v>High Quantity</v>
      </c>
      <c r="L217" t="str">
        <f t="shared" si="3"/>
        <v>December</v>
      </c>
    </row>
    <row r="218" spans="1:12" x14ac:dyDescent="0.25">
      <c r="A218" s="9">
        <v>10676</v>
      </c>
      <c r="B218" s="31">
        <v>44917</v>
      </c>
      <c r="C218" s="10" t="s">
        <v>25</v>
      </c>
      <c r="D218" s="11">
        <v>9.9499999999999993</v>
      </c>
      <c r="E218" s="10">
        <v>241.21</v>
      </c>
      <c r="F218" s="10" t="s">
        <v>18</v>
      </c>
      <c r="G218" s="10" t="s">
        <v>44</v>
      </c>
      <c r="H218" s="10" t="s">
        <v>36</v>
      </c>
      <c r="I218" s="10" t="s">
        <v>20</v>
      </c>
      <c r="J218" s="11">
        <f>'Cleaned Data'!$D218*'Cleaned Data'!$E218</f>
        <v>2400.0394999999999</v>
      </c>
      <c r="K218" s="12" t="str">
        <f>IF('Cleaned Data'!$E218&gt;500,"High Quantity","Low Quantity")</f>
        <v>Low Quantity</v>
      </c>
      <c r="L218" t="str">
        <f t="shared" si="3"/>
        <v>December</v>
      </c>
    </row>
    <row r="219" spans="1:12" x14ac:dyDescent="0.25">
      <c r="A219" s="13">
        <v>10677</v>
      </c>
      <c r="B219" s="32">
        <v>44917</v>
      </c>
      <c r="C219" s="14" t="s">
        <v>9</v>
      </c>
      <c r="D219" s="15">
        <v>3.49</v>
      </c>
      <c r="E219" s="14">
        <v>630.37</v>
      </c>
      <c r="F219" s="14" t="s">
        <v>18</v>
      </c>
      <c r="G219" s="14" t="s">
        <v>44</v>
      </c>
      <c r="H219" s="14" t="s">
        <v>36</v>
      </c>
      <c r="I219" s="14" t="s">
        <v>20</v>
      </c>
      <c r="J219" s="15">
        <f>'Cleaned Data'!$D219*'Cleaned Data'!$E219</f>
        <v>2199.9913000000001</v>
      </c>
      <c r="K219" s="16" t="str">
        <f>IF('Cleaned Data'!$E219&gt;500,"High Quantity","Low Quantity")</f>
        <v>High Quantity</v>
      </c>
      <c r="L219" t="str">
        <f t="shared" si="3"/>
        <v>December</v>
      </c>
    </row>
    <row r="220" spans="1:12" x14ac:dyDescent="0.25">
      <c r="A220" s="9">
        <v>10678</v>
      </c>
      <c r="B220" s="31">
        <v>44917</v>
      </c>
      <c r="C220" s="10" t="s">
        <v>14</v>
      </c>
      <c r="D220" s="11">
        <v>2.95</v>
      </c>
      <c r="E220" s="10">
        <v>745.76</v>
      </c>
      <c r="F220" s="10" t="s">
        <v>18</v>
      </c>
      <c r="G220" s="10" t="s">
        <v>44</v>
      </c>
      <c r="H220" s="10" t="s">
        <v>36</v>
      </c>
      <c r="I220" s="10" t="s">
        <v>20</v>
      </c>
      <c r="J220" s="11">
        <f>'Cleaned Data'!$D220*'Cleaned Data'!$E220</f>
        <v>2199.9920000000002</v>
      </c>
      <c r="K220" s="12" t="str">
        <f>IF('Cleaned Data'!$E220&gt;500,"High Quantity","Low Quantity")</f>
        <v>High Quantity</v>
      </c>
      <c r="L220" t="str">
        <f t="shared" si="3"/>
        <v>December</v>
      </c>
    </row>
    <row r="221" spans="1:12" x14ac:dyDescent="0.25">
      <c r="A221" s="13">
        <v>10679</v>
      </c>
      <c r="B221" s="32">
        <v>44917</v>
      </c>
      <c r="C221" s="14" t="s">
        <v>17</v>
      </c>
      <c r="D221" s="15">
        <v>4.99</v>
      </c>
      <c r="E221" s="14">
        <v>200.4</v>
      </c>
      <c r="F221" s="14" t="s">
        <v>18</v>
      </c>
      <c r="G221" s="14" t="s">
        <v>44</v>
      </c>
      <c r="H221" s="14" t="s">
        <v>36</v>
      </c>
      <c r="I221" s="14" t="s">
        <v>20</v>
      </c>
      <c r="J221" s="15">
        <f>'Cleaned Data'!$D221*'Cleaned Data'!$E221</f>
        <v>999.99600000000009</v>
      </c>
      <c r="K221" s="16" t="str">
        <f>IF('Cleaned Data'!$E221&gt;500,"High Quantity","Low Quantity")</f>
        <v>Low Quantity</v>
      </c>
      <c r="L221" t="str">
        <f t="shared" si="3"/>
        <v>December</v>
      </c>
    </row>
    <row r="222" spans="1:12" x14ac:dyDescent="0.25">
      <c r="A222" s="9">
        <v>10680</v>
      </c>
      <c r="B222" s="31">
        <v>44918</v>
      </c>
      <c r="C222" s="10" t="s">
        <v>21</v>
      </c>
      <c r="D222" s="11">
        <v>12.99</v>
      </c>
      <c r="E222" s="10">
        <v>646.65</v>
      </c>
      <c r="F222" s="10" t="s">
        <v>18</v>
      </c>
      <c r="G222" s="10" t="s">
        <v>44</v>
      </c>
      <c r="H222" s="10" t="s">
        <v>36</v>
      </c>
      <c r="I222" s="10" t="s">
        <v>20</v>
      </c>
      <c r="J222" s="11">
        <f>'Cleaned Data'!$D222*'Cleaned Data'!$E222</f>
        <v>8399.9835000000003</v>
      </c>
      <c r="K222" s="12" t="str">
        <f>IF('Cleaned Data'!$E222&gt;500,"High Quantity","Low Quantity")</f>
        <v>High Quantity</v>
      </c>
      <c r="L222" t="str">
        <f t="shared" si="3"/>
        <v>December</v>
      </c>
    </row>
    <row r="223" spans="1:12" x14ac:dyDescent="0.25">
      <c r="A223" s="13">
        <v>10681</v>
      </c>
      <c r="B223" s="32">
        <v>44918</v>
      </c>
      <c r="C223" s="14" t="s">
        <v>25</v>
      </c>
      <c r="D223" s="15">
        <v>9.9499999999999993</v>
      </c>
      <c r="E223" s="14">
        <v>241.21</v>
      </c>
      <c r="F223" s="14" t="s">
        <v>18</v>
      </c>
      <c r="G223" s="14" t="s">
        <v>44</v>
      </c>
      <c r="H223" s="14" t="s">
        <v>36</v>
      </c>
      <c r="I223" s="14" t="s">
        <v>20</v>
      </c>
      <c r="J223" s="15">
        <f>'Cleaned Data'!$D223*'Cleaned Data'!$E223</f>
        <v>2400.0394999999999</v>
      </c>
      <c r="K223" s="16" t="str">
        <f>IF('Cleaned Data'!$E223&gt;500,"High Quantity","Low Quantity")</f>
        <v>Low Quantity</v>
      </c>
      <c r="L223" t="str">
        <f t="shared" si="3"/>
        <v>December</v>
      </c>
    </row>
    <row r="224" spans="1:12" x14ac:dyDescent="0.25">
      <c r="A224" s="9">
        <v>10682</v>
      </c>
      <c r="B224" s="31">
        <v>44918</v>
      </c>
      <c r="C224" s="10" t="s">
        <v>9</v>
      </c>
      <c r="D224" s="11">
        <v>3.49</v>
      </c>
      <c r="E224" s="10">
        <v>630.37</v>
      </c>
      <c r="F224" s="10" t="s">
        <v>18</v>
      </c>
      <c r="G224" s="10" t="s">
        <v>44</v>
      </c>
      <c r="H224" s="10" t="s">
        <v>36</v>
      </c>
      <c r="I224" s="10" t="s">
        <v>20</v>
      </c>
      <c r="J224" s="11">
        <f>'Cleaned Data'!$D224*'Cleaned Data'!$E224</f>
        <v>2199.9913000000001</v>
      </c>
      <c r="K224" s="12" t="str">
        <f>IF('Cleaned Data'!$E224&gt;500,"High Quantity","Low Quantity")</f>
        <v>High Quantity</v>
      </c>
      <c r="L224" t="str">
        <f t="shared" si="3"/>
        <v>December</v>
      </c>
    </row>
    <row r="225" spans="1:12" x14ac:dyDescent="0.25">
      <c r="A225" s="13">
        <v>10683</v>
      </c>
      <c r="B225" s="32">
        <v>44918</v>
      </c>
      <c r="C225" s="14" t="s">
        <v>14</v>
      </c>
      <c r="D225" s="15">
        <v>2.95</v>
      </c>
      <c r="E225" s="14">
        <v>677.97</v>
      </c>
      <c r="F225" s="14" t="s">
        <v>18</v>
      </c>
      <c r="G225" s="14" t="s">
        <v>44</v>
      </c>
      <c r="H225" s="14" t="s">
        <v>36</v>
      </c>
      <c r="I225" s="14" t="s">
        <v>20</v>
      </c>
      <c r="J225" s="15">
        <f>'Cleaned Data'!$D225*'Cleaned Data'!$E225</f>
        <v>2000.0115000000003</v>
      </c>
      <c r="K225" s="16" t="str">
        <f>IF('Cleaned Data'!$E225&gt;500,"High Quantity","Low Quantity")</f>
        <v>High Quantity</v>
      </c>
      <c r="L225" t="str">
        <f t="shared" si="3"/>
        <v>December</v>
      </c>
    </row>
    <row r="226" spans="1:12" x14ac:dyDescent="0.25">
      <c r="A226" s="9">
        <v>10684</v>
      </c>
      <c r="B226" s="31">
        <v>44918</v>
      </c>
      <c r="C226" s="10" t="s">
        <v>17</v>
      </c>
      <c r="D226" s="11">
        <v>4.99</v>
      </c>
      <c r="E226" s="10">
        <v>200.4</v>
      </c>
      <c r="F226" s="10" t="s">
        <v>18</v>
      </c>
      <c r="G226" s="10" t="s">
        <v>44</v>
      </c>
      <c r="H226" s="10" t="s">
        <v>36</v>
      </c>
      <c r="I226" s="10" t="s">
        <v>20</v>
      </c>
      <c r="J226" s="11">
        <f>'Cleaned Data'!$D226*'Cleaned Data'!$E226</f>
        <v>999.99600000000009</v>
      </c>
      <c r="K226" s="12" t="str">
        <f>IF('Cleaned Data'!$E226&gt;500,"High Quantity","Low Quantity")</f>
        <v>Low Quantity</v>
      </c>
      <c r="L226" t="str">
        <f t="shared" si="3"/>
        <v>December</v>
      </c>
    </row>
    <row r="227" spans="1:12" x14ac:dyDescent="0.25">
      <c r="A227" s="13">
        <v>10685</v>
      </c>
      <c r="B227" s="32">
        <v>44919</v>
      </c>
      <c r="C227" s="14" t="s">
        <v>21</v>
      </c>
      <c r="D227" s="15">
        <v>12.99</v>
      </c>
      <c r="E227" s="14">
        <v>677.44</v>
      </c>
      <c r="F227" s="14" t="s">
        <v>18</v>
      </c>
      <c r="G227" s="14" t="s">
        <v>44</v>
      </c>
      <c r="H227" s="14" t="s">
        <v>36</v>
      </c>
      <c r="I227" s="14" t="s">
        <v>20</v>
      </c>
      <c r="J227" s="15">
        <f>'Cleaned Data'!$D227*'Cleaned Data'!$E227</f>
        <v>8799.9456000000009</v>
      </c>
      <c r="K227" s="16" t="str">
        <f>IF('Cleaned Data'!$E227&gt;500,"High Quantity","Low Quantity")</f>
        <v>High Quantity</v>
      </c>
      <c r="L227" t="str">
        <f t="shared" si="3"/>
        <v>December</v>
      </c>
    </row>
    <row r="228" spans="1:12" x14ac:dyDescent="0.25">
      <c r="A228" s="9">
        <v>10686</v>
      </c>
      <c r="B228" s="31">
        <v>44919</v>
      </c>
      <c r="C228" s="10" t="s">
        <v>25</v>
      </c>
      <c r="D228" s="11">
        <v>9.9499999999999993</v>
      </c>
      <c r="E228" s="10">
        <v>241.21</v>
      </c>
      <c r="F228" s="10" t="s">
        <v>18</v>
      </c>
      <c r="G228" s="10" t="s">
        <v>44</v>
      </c>
      <c r="H228" s="10" t="s">
        <v>36</v>
      </c>
      <c r="I228" s="10" t="s">
        <v>20</v>
      </c>
      <c r="J228" s="11">
        <f>'Cleaned Data'!$D228*'Cleaned Data'!$E228</f>
        <v>2400.0394999999999</v>
      </c>
      <c r="K228" s="12" t="str">
        <f>IF('Cleaned Data'!$E228&gt;500,"High Quantity","Low Quantity")</f>
        <v>Low Quantity</v>
      </c>
      <c r="L228" t="str">
        <f t="shared" si="3"/>
        <v>December</v>
      </c>
    </row>
    <row r="229" spans="1:12" x14ac:dyDescent="0.25">
      <c r="A229" s="13">
        <v>10687</v>
      </c>
      <c r="B229" s="32">
        <v>44919</v>
      </c>
      <c r="C229" s="14" t="s">
        <v>9</v>
      </c>
      <c r="D229" s="15">
        <v>3.49</v>
      </c>
      <c r="E229" s="14">
        <v>630.37</v>
      </c>
      <c r="F229" s="14" t="s">
        <v>18</v>
      </c>
      <c r="G229" s="14" t="s">
        <v>44</v>
      </c>
      <c r="H229" s="14" t="s">
        <v>23</v>
      </c>
      <c r="I229" s="14" t="s">
        <v>24</v>
      </c>
      <c r="J229" s="15">
        <f>'Cleaned Data'!$D229*'Cleaned Data'!$E229</f>
        <v>2199.9913000000001</v>
      </c>
      <c r="K229" s="16" t="str">
        <f>IF('Cleaned Data'!$E229&gt;500,"High Quantity","Low Quantity")</f>
        <v>High Quantity</v>
      </c>
      <c r="L229" t="str">
        <f t="shared" si="3"/>
        <v>December</v>
      </c>
    </row>
    <row r="230" spans="1:12" x14ac:dyDescent="0.25">
      <c r="A230" s="9">
        <v>10688</v>
      </c>
      <c r="B230" s="31">
        <v>44919</v>
      </c>
      <c r="C230" s="10" t="s">
        <v>14</v>
      </c>
      <c r="D230" s="11">
        <v>2.95</v>
      </c>
      <c r="E230" s="10">
        <v>677.97</v>
      </c>
      <c r="F230" s="10" t="s">
        <v>18</v>
      </c>
      <c r="G230" s="10" t="s">
        <v>44</v>
      </c>
      <c r="H230" s="10" t="s">
        <v>23</v>
      </c>
      <c r="I230" s="10" t="s">
        <v>24</v>
      </c>
      <c r="J230" s="11">
        <f>'Cleaned Data'!$D230*'Cleaned Data'!$E230</f>
        <v>2000.0115000000003</v>
      </c>
      <c r="K230" s="12" t="str">
        <f>IF('Cleaned Data'!$E230&gt;500,"High Quantity","Low Quantity")</f>
        <v>High Quantity</v>
      </c>
      <c r="L230" t="str">
        <f t="shared" si="3"/>
        <v>December</v>
      </c>
    </row>
    <row r="231" spans="1:12" x14ac:dyDescent="0.25">
      <c r="A231" s="13">
        <v>10689</v>
      </c>
      <c r="B231" s="32">
        <v>44919</v>
      </c>
      <c r="C231" s="14" t="s">
        <v>17</v>
      </c>
      <c r="D231" s="15">
        <v>4.99</v>
      </c>
      <c r="E231" s="14">
        <v>200.4</v>
      </c>
      <c r="F231" s="14" t="s">
        <v>18</v>
      </c>
      <c r="G231" s="14" t="s">
        <v>44</v>
      </c>
      <c r="H231" s="14" t="s">
        <v>23</v>
      </c>
      <c r="I231" s="14" t="s">
        <v>24</v>
      </c>
      <c r="J231" s="15">
        <f>'Cleaned Data'!$D231*'Cleaned Data'!$E231</f>
        <v>999.99600000000009</v>
      </c>
      <c r="K231" s="16" t="str">
        <f>IF('Cleaned Data'!$E231&gt;500,"High Quantity","Low Quantity")</f>
        <v>Low Quantity</v>
      </c>
      <c r="L231" t="str">
        <f t="shared" si="3"/>
        <v>December</v>
      </c>
    </row>
    <row r="232" spans="1:12" x14ac:dyDescent="0.25">
      <c r="A232" s="9">
        <v>10690</v>
      </c>
      <c r="B232" s="31">
        <v>44920</v>
      </c>
      <c r="C232" s="10" t="s">
        <v>21</v>
      </c>
      <c r="D232" s="11">
        <v>12.99</v>
      </c>
      <c r="E232" s="10">
        <v>677.44</v>
      </c>
      <c r="F232" s="10" t="s">
        <v>18</v>
      </c>
      <c r="G232" s="10" t="s">
        <v>44</v>
      </c>
      <c r="H232" s="10" t="s">
        <v>23</v>
      </c>
      <c r="I232" s="10" t="s">
        <v>24</v>
      </c>
      <c r="J232" s="11">
        <f>'Cleaned Data'!$D232*'Cleaned Data'!$E232</f>
        <v>8799.9456000000009</v>
      </c>
      <c r="K232" s="12" t="str">
        <f>IF('Cleaned Data'!$E232&gt;500,"High Quantity","Low Quantity")</f>
        <v>High Quantity</v>
      </c>
      <c r="L232" t="str">
        <f t="shared" si="3"/>
        <v>December</v>
      </c>
    </row>
    <row r="233" spans="1:12" x14ac:dyDescent="0.25">
      <c r="A233" s="13">
        <v>10691</v>
      </c>
      <c r="B233" s="32">
        <v>44920</v>
      </c>
      <c r="C233" s="14" t="s">
        <v>25</v>
      </c>
      <c r="D233" s="15">
        <v>9.9499999999999993</v>
      </c>
      <c r="E233" s="14">
        <v>261.31</v>
      </c>
      <c r="F233" s="14" t="s">
        <v>18</v>
      </c>
      <c r="G233" s="14" t="s">
        <v>44</v>
      </c>
      <c r="H233" s="14" t="s">
        <v>23</v>
      </c>
      <c r="I233" s="14" t="s">
        <v>24</v>
      </c>
      <c r="J233" s="15">
        <f>'Cleaned Data'!$D233*'Cleaned Data'!$E233</f>
        <v>2600.0344999999998</v>
      </c>
      <c r="K233" s="16" t="str">
        <f>IF('Cleaned Data'!$E233&gt;500,"High Quantity","Low Quantity")</f>
        <v>Low Quantity</v>
      </c>
      <c r="L233" t="str">
        <f t="shared" si="3"/>
        <v>December</v>
      </c>
    </row>
    <row r="234" spans="1:12" x14ac:dyDescent="0.25">
      <c r="A234" s="9">
        <v>10692</v>
      </c>
      <c r="B234" s="31">
        <v>44920</v>
      </c>
      <c r="C234" s="10" t="s">
        <v>9</v>
      </c>
      <c r="D234" s="11">
        <v>3.49</v>
      </c>
      <c r="E234" s="10">
        <v>630.37</v>
      </c>
      <c r="F234" s="10" t="s">
        <v>18</v>
      </c>
      <c r="G234" s="10" t="s">
        <v>44</v>
      </c>
      <c r="H234" s="10" t="s">
        <v>23</v>
      </c>
      <c r="I234" s="10" t="s">
        <v>24</v>
      </c>
      <c r="J234" s="11">
        <f>'Cleaned Data'!$D234*'Cleaned Data'!$E234</f>
        <v>2199.9913000000001</v>
      </c>
      <c r="K234" s="12" t="str">
        <f>IF('Cleaned Data'!$E234&gt;500,"High Quantity","Low Quantity")</f>
        <v>High Quantity</v>
      </c>
      <c r="L234" t="str">
        <f t="shared" si="3"/>
        <v>December</v>
      </c>
    </row>
    <row r="235" spans="1:12" x14ac:dyDescent="0.25">
      <c r="A235" s="13">
        <v>10693</v>
      </c>
      <c r="B235" s="32">
        <v>44920</v>
      </c>
      <c r="C235" s="14" t="s">
        <v>14</v>
      </c>
      <c r="D235" s="15">
        <v>2.95</v>
      </c>
      <c r="E235" s="14">
        <v>677.97</v>
      </c>
      <c r="F235" s="14" t="s">
        <v>18</v>
      </c>
      <c r="G235" s="14" t="s">
        <v>44</v>
      </c>
      <c r="H235" s="14" t="s">
        <v>23</v>
      </c>
      <c r="I235" s="14" t="s">
        <v>24</v>
      </c>
      <c r="J235" s="15">
        <f>'Cleaned Data'!$D235*'Cleaned Data'!$E235</f>
        <v>2000.0115000000003</v>
      </c>
      <c r="K235" s="16" t="str">
        <f>IF('Cleaned Data'!$E235&gt;500,"High Quantity","Low Quantity")</f>
        <v>High Quantity</v>
      </c>
      <c r="L235" t="str">
        <f t="shared" si="3"/>
        <v>December</v>
      </c>
    </row>
    <row r="236" spans="1:12" x14ac:dyDescent="0.25">
      <c r="A236" s="9">
        <v>10694</v>
      </c>
      <c r="B236" s="31">
        <v>44920</v>
      </c>
      <c r="C236" s="10" t="s">
        <v>17</v>
      </c>
      <c r="D236" s="11">
        <v>4.99</v>
      </c>
      <c r="E236" s="10">
        <v>200.4</v>
      </c>
      <c r="F236" s="10" t="s">
        <v>18</v>
      </c>
      <c r="G236" s="10" t="s">
        <v>44</v>
      </c>
      <c r="H236" s="10" t="s">
        <v>23</v>
      </c>
      <c r="I236" s="10" t="s">
        <v>24</v>
      </c>
      <c r="J236" s="11">
        <f>'Cleaned Data'!$D236*'Cleaned Data'!$E236</f>
        <v>999.99600000000009</v>
      </c>
      <c r="K236" s="12" t="str">
        <f>IF('Cleaned Data'!$E236&gt;500,"High Quantity","Low Quantity")</f>
        <v>Low Quantity</v>
      </c>
      <c r="L236" t="str">
        <f t="shared" si="3"/>
        <v>December</v>
      </c>
    </row>
    <row r="237" spans="1:12" x14ac:dyDescent="0.25">
      <c r="A237" s="13">
        <v>10695</v>
      </c>
      <c r="B237" s="32">
        <v>44921</v>
      </c>
      <c r="C237" s="14" t="s">
        <v>21</v>
      </c>
      <c r="D237" s="15">
        <v>12.99</v>
      </c>
      <c r="E237" s="14">
        <v>692.84</v>
      </c>
      <c r="F237" s="14" t="s">
        <v>18</v>
      </c>
      <c r="G237" s="14" t="s">
        <v>44</v>
      </c>
      <c r="H237" s="14" t="s">
        <v>23</v>
      </c>
      <c r="I237" s="14" t="s">
        <v>24</v>
      </c>
      <c r="J237" s="15">
        <f>'Cleaned Data'!$D237*'Cleaned Data'!$E237</f>
        <v>8999.9916000000012</v>
      </c>
      <c r="K237" s="16" t="str">
        <f>IF('Cleaned Data'!$E237&gt;500,"High Quantity","Low Quantity")</f>
        <v>High Quantity</v>
      </c>
      <c r="L237" t="str">
        <f t="shared" si="3"/>
        <v>December</v>
      </c>
    </row>
    <row r="238" spans="1:12" x14ac:dyDescent="0.25">
      <c r="A238" s="9">
        <v>10696</v>
      </c>
      <c r="B238" s="31">
        <v>44921</v>
      </c>
      <c r="C238" s="10" t="s">
        <v>25</v>
      </c>
      <c r="D238" s="11">
        <v>9.9499999999999993</v>
      </c>
      <c r="E238" s="10">
        <v>281.41000000000003</v>
      </c>
      <c r="F238" s="10" t="s">
        <v>18</v>
      </c>
      <c r="G238" s="10" t="s">
        <v>44</v>
      </c>
      <c r="H238" s="10" t="s">
        <v>23</v>
      </c>
      <c r="I238" s="10" t="s">
        <v>24</v>
      </c>
      <c r="J238" s="11">
        <f>'Cleaned Data'!$D238*'Cleaned Data'!$E238</f>
        <v>2800.0295000000001</v>
      </c>
      <c r="K238" s="12" t="str">
        <f>IF('Cleaned Data'!$E238&gt;500,"High Quantity","Low Quantity")</f>
        <v>Low Quantity</v>
      </c>
      <c r="L238" t="str">
        <f t="shared" si="3"/>
        <v>December</v>
      </c>
    </row>
    <row r="239" spans="1:12" x14ac:dyDescent="0.25">
      <c r="A239" s="13">
        <v>10697</v>
      </c>
      <c r="B239" s="32">
        <v>44921</v>
      </c>
      <c r="C239" s="14" t="s">
        <v>9</v>
      </c>
      <c r="D239" s="15">
        <v>3.49</v>
      </c>
      <c r="E239" s="14">
        <v>630.37</v>
      </c>
      <c r="F239" s="14" t="s">
        <v>18</v>
      </c>
      <c r="G239" s="14" t="s">
        <v>44</v>
      </c>
      <c r="H239" s="14" t="s">
        <v>23</v>
      </c>
      <c r="I239" s="14" t="s">
        <v>24</v>
      </c>
      <c r="J239" s="15">
        <f>'Cleaned Data'!$D239*'Cleaned Data'!$E239</f>
        <v>2199.9913000000001</v>
      </c>
      <c r="K239" s="16" t="str">
        <f>IF('Cleaned Data'!$E239&gt;500,"High Quantity","Low Quantity")</f>
        <v>High Quantity</v>
      </c>
      <c r="L239" t="str">
        <f t="shared" si="3"/>
        <v>December</v>
      </c>
    </row>
    <row r="240" spans="1:12" x14ac:dyDescent="0.25">
      <c r="A240" s="9">
        <v>10698</v>
      </c>
      <c r="B240" s="31">
        <v>44921</v>
      </c>
      <c r="C240" s="10" t="s">
        <v>14</v>
      </c>
      <c r="D240" s="11">
        <v>2.95</v>
      </c>
      <c r="E240" s="10">
        <v>677.97</v>
      </c>
      <c r="F240" s="10" t="s">
        <v>18</v>
      </c>
      <c r="G240" s="10" t="s">
        <v>44</v>
      </c>
      <c r="H240" s="10" t="s">
        <v>23</v>
      </c>
      <c r="I240" s="10" t="s">
        <v>24</v>
      </c>
      <c r="J240" s="11">
        <f>'Cleaned Data'!$D240*'Cleaned Data'!$E240</f>
        <v>2000.0115000000003</v>
      </c>
      <c r="K240" s="12" t="str">
        <f>IF('Cleaned Data'!$E240&gt;500,"High Quantity","Low Quantity")</f>
        <v>High Quantity</v>
      </c>
      <c r="L240" t="str">
        <f t="shared" si="3"/>
        <v>December</v>
      </c>
    </row>
    <row r="241" spans="1:12" x14ac:dyDescent="0.25">
      <c r="A241" s="13">
        <v>10699</v>
      </c>
      <c r="B241" s="32">
        <v>44921</v>
      </c>
      <c r="C241" s="14" t="s">
        <v>17</v>
      </c>
      <c r="D241" s="15">
        <v>4.99</v>
      </c>
      <c r="E241" s="14">
        <v>200.4</v>
      </c>
      <c r="F241" s="14" t="s">
        <v>18</v>
      </c>
      <c r="G241" s="14" t="s">
        <v>44</v>
      </c>
      <c r="H241" s="14" t="s">
        <v>23</v>
      </c>
      <c r="I241" s="14" t="s">
        <v>24</v>
      </c>
      <c r="J241" s="15">
        <f>'Cleaned Data'!$D241*'Cleaned Data'!$E241</f>
        <v>999.99600000000009</v>
      </c>
      <c r="K241" s="16" t="str">
        <f>IF('Cleaned Data'!$E241&gt;500,"High Quantity","Low Quantity")</f>
        <v>Low Quantity</v>
      </c>
      <c r="L241" t="str">
        <f t="shared" si="3"/>
        <v>December</v>
      </c>
    </row>
    <row r="242" spans="1:12" x14ac:dyDescent="0.25">
      <c r="A242" s="9">
        <v>10700</v>
      </c>
      <c r="B242" s="31">
        <v>44922</v>
      </c>
      <c r="C242" s="10" t="s">
        <v>21</v>
      </c>
      <c r="D242" s="11">
        <v>12.99</v>
      </c>
      <c r="E242" s="10">
        <v>692.84</v>
      </c>
      <c r="F242" s="10" t="s">
        <v>18</v>
      </c>
      <c r="G242" s="10" t="s">
        <v>44</v>
      </c>
      <c r="H242" s="10" t="s">
        <v>23</v>
      </c>
      <c r="I242" s="10" t="s">
        <v>24</v>
      </c>
      <c r="J242" s="11">
        <f>'Cleaned Data'!$D242*'Cleaned Data'!$E242</f>
        <v>8999.9916000000012</v>
      </c>
      <c r="K242" s="12" t="str">
        <f>IF('Cleaned Data'!$E242&gt;500,"High Quantity","Low Quantity")</f>
        <v>High Quantity</v>
      </c>
      <c r="L242" t="str">
        <f t="shared" si="3"/>
        <v>December</v>
      </c>
    </row>
    <row r="243" spans="1:12" x14ac:dyDescent="0.25">
      <c r="A243" s="13">
        <v>10701</v>
      </c>
      <c r="B243" s="32">
        <v>44922</v>
      </c>
      <c r="C243" s="14" t="s">
        <v>25</v>
      </c>
      <c r="D243" s="15">
        <v>9.9499999999999993</v>
      </c>
      <c r="E243" s="14">
        <v>281.41000000000003</v>
      </c>
      <c r="F243" s="14" t="s">
        <v>18</v>
      </c>
      <c r="G243" s="14" t="s">
        <v>44</v>
      </c>
      <c r="H243" s="14" t="s">
        <v>23</v>
      </c>
      <c r="I243" s="14" t="s">
        <v>24</v>
      </c>
      <c r="J243" s="15">
        <f>'Cleaned Data'!$D243*'Cleaned Data'!$E243</f>
        <v>2800.0295000000001</v>
      </c>
      <c r="K243" s="16" t="str">
        <f>IF('Cleaned Data'!$E243&gt;500,"High Quantity","Low Quantity")</f>
        <v>Low Quantity</v>
      </c>
      <c r="L243" t="str">
        <f t="shared" si="3"/>
        <v>December</v>
      </c>
    </row>
    <row r="244" spans="1:12" x14ac:dyDescent="0.25">
      <c r="A244" s="9">
        <v>10702</v>
      </c>
      <c r="B244" s="31">
        <v>44922</v>
      </c>
      <c r="C244" s="10" t="s">
        <v>9</v>
      </c>
      <c r="D244" s="11">
        <v>3.49</v>
      </c>
      <c r="E244" s="10">
        <v>630.37</v>
      </c>
      <c r="F244" s="10" t="s">
        <v>18</v>
      </c>
      <c r="G244" s="10" t="s">
        <v>44</v>
      </c>
      <c r="H244" s="10" t="s">
        <v>23</v>
      </c>
      <c r="I244" s="10" t="s">
        <v>24</v>
      </c>
      <c r="J244" s="11">
        <f>'Cleaned Data'!$D244*'Cleaned Data'!$E244</f>
        <v>2199.9913000000001</v>
      </c>
      <c r="K244" s="12" t="str">
        <f>IF('Cleaned Data'!$E244&gt;500,"High Quantity","Low Quantity")</f>
        <v>High Quantity</v>
      </c>
      <c r="L244" t="str">
        <f t="shared" si="3"/>
        <v>December</v>
      </c>
    </row>
    <row r="245" spans="1:12" x14ac:dyDescent="0.25">
      <c r="A245" s="13">
        <v>10703</v>
      </c>
      <c r="B245" s="32">
        <v>44922</v>
      </c>
      <c r="C245" s="14" t="s">
        <v>14</v>
      </c>
      <c r="D245" s="15">
        <v>2.95</v>
      </c>
      <c r="E245" s="14">
        <v>677.97</v>
      </c>
      <c r="F245" s="14" t="s">
        <v>18</v>
      </c>
      <c r="G245" s="14" t="s">
        <v>11</v>
      </c>
      <c r="H245" s="14" t="s">
        <v>23</v>
      </c>
      <c r="I245" s="14" t="s">
        <v>24</v>
      </c>
      <c r="J245" s="15">
        <f>'Cleaned Data'!$D245*'Cleaned Data'!$E245</f>
        <v>2000.0115000000003</v>
      </c>
      <c r="K245" s="16" t="str">
        <f>IF('Cleaned Data'!$E245&gt;500,"High Quantity","Low Quantity")</f>
        <v>High Quantity</v>
      </c>
      <c r="L245" t="str">
        <f t="shared" si="3"/>
        <v>December</v>
      </c>
    </row>
    <row r="246" spans="1:12" x14ac:dyDescent="0.25">
      <c r="A246" s="9">
        <v>10704</v>
      </c>
      <c r="B246" s="31">
        <v>44922</v>
      </c>
      <c r="C246" s="10" t="s">
        <v>17</v>
      </c>
      <c r="D246" s="11">
        <v>4.99</v>
      </c>
      <c r="E246" s="10">
        <v>200.4</v>
      </c>
      <c r="F246" s="10" t="s">
        <v>40</v>
      </c>
      <c r="G246" s="10" t="s">
        <v>11</v>
      </c>
      <c r="H246" s="10" t="s">
        <v>23</v>
      </c>
      <c r="I246" s="10" t="s">
        <v>24</v>
      </c>
      <c r="J246" s="11">
        <f>'Cleaned Data'!$D246*'Cleaned Data'!$E246</f>
        <v>999.99600000000009</v>
      </c>
      <c r="K246" s="12" t="str">
        <f>IF('Cleaned Data'!$E246&gt;500,"High Quantity","Low Quantity")</f>
        <v>Low Quantity</v>
      </c>
      <c r="L246" t="str">
        <f t="shared" si="3"/>
        <v>December</v>
      </c>
    </row>
    <row r="247" spans="1:12" x14ac:dyDescent="0.25">
      <c r="A247" s="13">
        <v>10705</v>
      </c>
      <c r="B247" s="32">
        <v>44923</v>
      </c>
      <c r="C247" s="14" t="s">
        <v>21</v>
      </c>
      <c r="D247" s="15">
        <v>12.99</v>
      </c>
      <c r="E247" s="14">
        <v>723.63</v>
      </c>
      <c r="F247" s="14" t="s">
        <v>40</v>
      </c>
      <c r="G247" s="14" t="s">
        <v>11</v>
      </c>
      <c r="H247" s="14" t="s">
        <v>23</v>
      </c>
      <c r="I247" s="14" t="s">
        <v>24</v>
      </c>
      <c r="J247" s="15">
        <f>'Cleaned Data'!$D247*'Cleaned Data'!$E247</f>
        <v>9399.9537</v>
      </c>
      <c r="K247" s="16" t="str">
        <f>IF('Cleaned Data'!$E247&gt;500,"High Quantity","Low Quantity")</f>
        <v>High Quantity</v>
      </c>
      <c r="L247" t="str">
        <f t="shared" si="3"/>
        <v>December</v>
      </c>
    </row>
    <row r="248" spans="1:12" x14ac:dyDescent="0.25">
      <c r="A248" s="9">
        <v>10706</v>
      </c>
      <c r="B248" s="31">
        <v>44923</v>
      </c>
      <c r="C248" s="10" t="s">
        <v>25</v>
      </c>
      <c r="D248" s="11">
        <v>9.9499999999999993</v>
      </c>
      <c r="E248" s="10">
        <v>301.51</v>
      </c>
      <c r="F248" s="10" t="s">
        <v>40</v>
      </c>
      <c r="G248" s="10" t="s">
        <v>11</v>
      </c>
      <c r="H248" s="10" t="s">
        <v>23</v>
      </c>
      <c r="I248" s="10" t="s">
        <v>24</v>
      </c>
      <c r="J248" s="11">
        <f>'Cleaned Data'!$D248*'Cleaned Data'!$E248</f>
        <v>3000.0244999999995</v>
      </c>
      <c r="K248" s="12" t="str">
        <f>IF('Cleaned Data'!$E248&gt;500,"High Quantity","Low Quantity")</f>
        <v>Low Quantity</v>
      </c>
      <c r="L248" t="str">
        <f t="shared" si="3"/>
        <v>December</v>
      </c>
    </row>
    <row r="249" spans="1:12" x14ac:dyDescent="0.25">
      <c r="A249" s="13">
        <v>10707</v>
      </c>
      <c r="B249" s="32">
        <v>44923</v>
      </c>
      <c r="C249" s="14" t="s">
        <v>9</v>
      </c>
      <c r="D249" s="15">
        <v>3.49</v>
      </c>
      <c r="E249" s="14">
        <v>630.37</v>
      </c>
      <c r="F249" s="14" t="s">
        <v>40</v>
      </c>
      <c r="G249" s="14" t="s">
        <v>11</v>
      </c>
      <c r="H249" s="14" t="s">
        <v>23</v>
      </c>
      <c r="I249" s="14" t="s">
        <v>24</v>
      </c>
      <c r="J249" s="15">
        <f>'Cleaned Data'!$D249*'Cleaned Data'!$E249</f>
        <v>2199.9913000000001</v>
      </c>
      <c r="K249" s="16" t="str">
        <f>IF('Cleaned Data'!$E249&gt;500,"High Quantity","Low Quantity")</f>
        <v>High Quantity</v>
      </c>
      <c r="L249" t="str">
        <f t="shared" si="3"/>
        <v>December</v>
      </c>
    </row>
    <row r="250" spans="1:12" x14ac:dyDescent="0.25">
      <c r="A250" s="9">
        <v>10708</v>
      </c>
      <c r="B250" s="31">
        <v>44923</v>
      </c>
      <c r="C250" s="10" t="s">
        <v>14</v>
      </c>
      <c r="D250" s="11">
        <v>2.95</v>
      </c>
      <c r="E250" s="10">
        <v>677.97</v>
      </c>
      <c r="F250" s="10" t="s">
        <v>40</v>
      </c>
      <c r="G250" s="10" t="s">
        <v>11</v>
      </c>
      <c r="H250" s="10" t="s">
        <v>23</v>
      </c>
      <c r="I250" s="10" t="s">
        <v>24</v>
      </c>
      <c r="J250" s="11">
        <f>'Cleaned Data'!$D250*'Cleaned Data'!$E250</f>
        <v>2000.0115000000003</v>
      </c>
      <c r="K250" s="12" t="str">
        <f>IF('Cleaned Data'!$E250&gt;500,"High Quantity","Low Quantity")</f>
        <v>High Quantity</v>
      </c>
      <c r="L250" t="str">
        <f t="shared" si="3"/>
        <v>December</v>
      </c>
    </row>
    <row r="251" spans="1:12" x14ac:dyDescent="0.25">
      <c r="A251" s="13">
        <v>10709</v>
      </c>
      <c r="B251" s="32">
        <v>44923</v>
      </c>
      <c r="C251" s="14" t="s">
        <v>17</v>
      </c>
      <c r="D251" s="15">
        <v>4.99</v>
      </c>
      <c r="E251" s="14">
        <v>200.4</v>
      </c>
      <c r="F251" s="14" t="s">
        <v>40</v>
      </c>
      <c r="G251" s="14" t="s">
        <v>11</v>
      </c>
      <c r="H251" s="14" t="s">
        <v>23</v>
      </c>
      <c r="I251" s="14" t="s">
        <v>24</v>
      </c>
      <c r="J251" s="15">
        <f>'Cleaned Data'!$D251*'Cleaned Data'!$E251</f>
        <v>999.99600000000009</v>
      </c>
      <c r="K251" s="16" t="str">
        <f>IF('Cleaned Data'!$E251&gt;500,"High Quantity","Low Quantity")</f>
        <v>Low Quantity</v>
      </c>
      <c r="L251" t="str">
        <f t="shared" si="3"/>
        <v>December</v>
      </c>
    </row>
    <row r="252" spans="1:12" x14ac:dyDescent="0.25">
      <c r="A252" s="9">
        <v>10710</v>
      </c>
      <c r="B252" s="31">
        <v>44924</v>
      </c>
      <c r="C252" s="10" t="s">
        <v>21</v>
      </c>
      <c r="D252" s="11">
        <v>12.99</v>
      </c>
      <c r="E252" s="10">
        <v>754.43</v>
      </c>
      <c r="F252" s="10" t="s">
        <v>40</v>
      </c>
      <c r="G252" s="10" t="s">
        <v>11</v>
      </c>
      <c r="H252" s="10" t="s">
        <v>23</v>
      </c>
      <c r="I252" s="10" t="s">
        <v>24</v>
      </c>
      <c r="J252" s="11">
        <f>'Cleaned Data'!$D252*'Cleaned Data'!$E252</f>
        <v>9800.0456999999988</v>
      </c>
      <c r="K252" s="12" t="str">
        <f>IF('Cleaned Data'!$E252&gt;500,"High Quantity","Low Quantity")</f>
        <v>High Quantity</v>
      </c>
      <c r="L252" t="str">
        <f t="shared" si="3"/>
        <v>December</v>
      </c>
    </row>
    <row r="253" spans="1:12" x14ac:dyDescent="0.25">
      <c r="A253" s="13">
        <v>10711</v>
      </c>
      <c r="B253" s="32">
        <v>44924</v>
      </c>
      <c r="C253" s="14" t="s">
        <v>25</v>
      </c>
      <c r="D253" s="15">
        <v>9.9499999999999993</v>
      </c>
      <c r="E253" s="14">
        <v>281.41000000000003</v>
      </c>
      <c r="F253" s="14" t="s">
        <v>40</v>
      </c>
      <c r="G253" s="14" t="s">
        <v>11</v>
      </c>
      <c r="H253" s="14" t="s">
        <v>23</v>
      </c>
      <c r="I253" s="14" t="s">
        <v>24</v>
      </c>
      <c r="J253" s="15">
        <f>'Cleaned Data'!$D253*'Cleaned Data'!$E253</f>
        <v>2800.0295000000001</v>
      </c>
      <c r="K253" s="16" t="str">
        <f>IF('Cleaned Data'!$E253&gt;500,"High Quantity","Low Quantity")</f>
        <v>Low Quantity</v>
      </c>
      <c r="L253" t="str">
        <f t="shared" si="3"/>
        <v>December</v>
      </c>
    </row>
    <row r="254" spans="1:12" x14ac:dyDescent="0.25">
      <c r="A254" s="9">
        <v>10712</v>
      </c>
      <c r="B254" s="31">
        <v>44924</v>
      </c>
      <c r="C254" s="10" t="s">
        <v>9</v>
      </c>
      <c r="D254" s="11">
        <v>3.49</v>
      </c>
      <c r="E254" s="10">
        <v>630.37</v>
      </c>
      <c r="F254" s="10" t="s">
        <v>40</v>
      </c>
      <c r="G254" s="10" t="s">
        <v>11</v>
      </c>
      <c r="H254" s="10" t="s">
        <v>23</v>
      </c>
      <c r="I254" s="10" t="s">
        <v>24</v>
      </c>
      <c r="J254" s="11">
        <f>'Cleaned Data'!$D254*'Cleaned Data'!$E254</f>
        <v>2199.9913000000001</v>
      </c>
      <c r="K254" s="12" t="str">
        <f>IF('Cleaned Data'!$E254&gt;500,"High Quantity","Low Quantity")</f>
        <v>High Quantity</v>
      </c>
      <c r="L254" t="str">
        <f t="shared" si="3"/>
        <v>December</v>
      </c>
    </row>
    <row r="255" spans="1:12" x14ac:dyDescent="0.25">
      <c r="A255" s="2">
        <v>10713</v>
      </c>
      <c r="B255" s="33">
        <v>44924</v>
      </c>
      <c r="C255" s="3" t="s">
        <v>14</v>
      </c>
      <c r="D255" s="17">
        <v>2.95</v>
      </c>
      <c r="E255" s="3">
        <v>677.97</v>
      </c>
      <c r="F255" s="3" t="s">
        <v>40</v>
      </c>
      <c r="G255" s="3" t="s">
        <v>11</v>
      </c>
      <c r="H255" s="3" t="s">
        <v>23</v>
      </c>
      <c r="I255" s="3" t="s">
        <v>24</v>
      </c>
      <c r="J255" s="17">
        <f>'Cleaned Data'!$D255*'Cleaned Data'!$E255</f>
        <v>2000.0115000000003</v>
      </c>
      <c r="K255" s="18" t="str">
        <f>IF('Cleaned Data'!$E255&gt;500,"High Quantity","Low Quantity")</f>
        <v>High Quantity</v>
      </c>
      <c r="L255" t="str">
        <f t="shared" si="3"/>
        <v>December</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30027-3852-4FAA-9F59-6407E0F7E3AD}">
  <dimension ref="A1:Q59"/>
  <sheetViews>
    <sheetView topLeftCell="B1" zoomScale="99" workbookViewId="0">
      <selection activeCell="S37" sqref="S37"/>
    </sheetView>
  </sheetViews>
  <sheetFormatPr defaultRowHeight="15" x14ac:dyDescent="0.25"/>
  <sheetData>
    <row r="1" spans="1:17" x14ac:dyDescent="0.25">
      <c r="A1" s="35" t="s">
        <v>77</v>
      </c>
      <c r="B1" s="36"/>
      <c r="C1" s="36"/>
      <c r="D1" s="36"/>
      <c r="E1" s="36"/>
      <c r="F1" s="36"/>
      <c r="G1" s="36"/>
      <c r="H1" s="36"/>
      <c r="I1" s="36"/>
      <c r="J1" s="36"/>
      <c r="K1" s="36"/>
      <c r="L1" s="36"/>
      <c r="M1" s="36"/>
      <c r="N1" s="36"/>
      <c r="O1" s="36"/>
      <c r="P1" s="36"/>
      <c r="Q1" s="36"/>
    </row>
    <row r="2" spans="1:17" x14ac:dyDescent="0.25">
      <c r="A2" s="36"/>
      <c r="B2" s="36"/>
      <c r="C2" s="36"/>
      <c r="D2" s="36"/>
      <c r="E2" s="36"/>
      <c r="F2" s="36"/>
      <c r="G2" s="36"/>
      <c r="H2" s="36"/>
      <c r="I2" s="36"/>
      <c r="J2" s="36"/>
      <c r="K2" s="36"/>
      <c r="L2" s="36"/>
      <c r="M2" s="36"/>
      <c r="N2" s="36"/>
      <c r="O2" s="36"/>
      <c r="P2" s="36"/>
      <c r="Q2" s="36"/>
    </row>
    <row r="3" spans="1:17" x14ac:dyDescent="0.25">
      <c r="A3" s="36"/>
      <c r="B3" s="36"/>
      <c r="C3" s="36"/>
      <c r="D3" s="36"/>
      <c r="E3" s="36"/>
      <c r="F3" s="36"/>
      <c r="G3" s="36"/>
      <c r="H3" s="36"/>
      <c r="I3" s="36"/>
      <c r="J3" s="36"/>
      <c r="K3" s="36"/>
      <c r="L3" s="36"/>
      <c r="M3" s="36"/>
      <c r="N3" s="36"/>
      <c r="O3" s="36"/>
      <c r="P3" s="36"/>
      <c r="Q3" s="36"/>
    </row>
    <row r="4" spans="1:17" x14ac:dyDescent="0.25">
      <c r="A4" s="36"/>
      <c r="B4" s="36"/>
      <c r="C4" s="36"/>
      <c r="D4" s="36"/>
      <c r="E4" s="36"/>
      <c r="F4" s="36"/>
      <c r="G4" s="36"/>
      <c r="H4" s="36"/>
      <c r="I4" s="36"/>
      <c r="J4" s="36"/>
      <c r="K4" s="36"/>
      <c r="L4" s="36"/>
      <c r="M4" s="36"/>
      <c r="N4" s="36"/>
      <c r="O4" s="36"/>
      <c r="P4" s="36"/>
      <c r="Q4" s="36"/>
    </row>
    <row r="5" spans="1:17" x14ac:dyDescent="0.25">
      <c r="A5" s="36"/>
      <c r="B5" s="36"/>
      <c r="C5" s="36"/>
      <c r="D5" s="36"/>
      <c r="E5" s="36"/>
      <c r="F5" s="36"/>
      <c r="G5" s="36"/>
      <c r="H5" s="36"/>
      <c r="I5" s="36"/>
      <c r="J5" s="36"/>
      <c r="K5" s="36"/>
      <c r="L5" s="36"/>
      <c r="M5" s="36"/>
      <c r="N5" s="36"/>
      <c r="O5" s="36"/>
      <c r="P5" s="36"/>
      <c r="Q5" s="36"/>
    </row>
    <row r="6" spans="1:17" x14ac:dyDescent="0.25">
      <c r="A6" s="21"/>
      <c r="B6" s="21"/>
      <c r="C6" s="21"/>
      <c r="D6" s="21"/>
      <c r="E6" s="21"/>
      <c r="F6" s="21"/>
      <c r="G6" s="21"/>
      <c r="H6" s="21"/>
      <c r="I6" s="21"/>
      <c r="J6" s="21"/>
      <c r="K6" s="21"/>
      <c r="L6" s="21"/>
      <c r="M6" s="21"/>
      <c r="N6" s="21"/>
      <c r="O6" s="21"/>
      <c r="P6" s="21"/>
      <c r="Q6" s="21"/>
    </row>
    <row r="7" spans="1:17" x14ac:dyDescent="0.25">
      <c r="A7" s="21"/>
      <c r="B7" s="21"/>
      <c r="C7" s="21"/>
      <c r="D7" s="21"/>
      <c r="E7" s="21"/>
      <c r="F7" s="21"/>
      <c r="G7" s="21"/>
      <c r="H7" s="21"/>
      <c r="I7" s="21"/>
      <c r="J7" s="21"/>
      <c r="K7" s="21"/>
      <c r="L7" s="21"/>
      <c r="M7" s="21"/>
      <c r="N7" s="21"/>
      <c r="O7" s="21"/>
      <c r="P7" s="21"/>
      <c r="Q7" s="21"/>
    </row>
    <row r="8" spans="1:17" x14ac:dyDescent="0.25">
      <c r="A8" s="21"/>
      <c r="B8" s="21"/>
      <c r="C8" s="21"/>
      <c r="D8" s="21"/>
      <c r="E8" s="21"/>
      <c r="F8" s="21"/>
      <c r="G8" s="21"/>
      <c r="H8" s="21"/>
      <c r="I8" s="21"/>
      <c r="J8" s="21"/>
      <c r="K8" s="21"/>
      <c r="L8" s="21"/>
      <c r="M8" s="21"/>
      <c r="N8" s="21"/>
      <c r="O8" s="21"/>
      <c r="P8" s="21"/>
      <c r="Q8" s="21"/>
    </row>
    <row r="9" spans="1:17" x14ac:dyDescent="0.25">
      <c r="A9" s="21"/>
      <c r="B9" s="21"/>
      <c r="C9" s="21"/>
      <c r="D9" s="21"/>
      <c r="E9" s="21"/>
      <c r="F9" s="21"/>
      <c r="G9" s="21"/>
      <c r="H9" s="21"/>
      <c r="I9" s="21"/>
      <c r="J9" s="21"/>
      <c r="K9" s="21"/>
      <c r="L9" s="21"/>
      <c r="M9" s="21"/>
      <c r="N9" s="21"/>
      <c r="O9" s="21"/>
      <c r="P9" s="21"/>
      <c r="Q9" s="21"/>
    </row>
    <row r="10" spans="1:17" x14ac:dyDescent="0.25">
      <c r="A10" s="21"/>
      <c r="B10" s="21"/>
      <c r="C10" s="21"/>
      <c r="D10" s="21"/>
      <c r="E10" s="21"/>
      <c r="F10" s="21"/>
      <c r="G10" s="21"/>
      <c r="H10" s="21"/>
      <c r="I10" s="21"/>
      <c r="J10" s="21"/>
      <c r="K10" s="21"/>
      <c r="L10" s="21"/>
      <c r="M10" s="21"/>
      <c r="N10" s="21"/>
      <c r="O10" s="21"/>
      <c r="P10" s="21"/>
      <c r="Q10" s="21"/>
    </row>
    <row r="11" spans="1:17" x14ac:dyDescent="0.25">
      <c r="A11" s="21"/>
      <c r="B11" s="21"/>
      <c r="C11" s="21"/>
      <c r="D11" s="21"/>
      <c r="E11" s="21"/>
      <c r="F11" s="21"/>
      <c r="G11" s="21"/>
      <c r="H11" s="21"/>
      <c r="I11" s="21"/>
      <c r="J11" s="21"/>
      <c r="K11" s="21"/>
      <c r="L11" s="21"/>
      <c r="M11" s="21"/>
      <c r="N11" s="21"/>
      <c r="O11" s="21"/>
      <c r="P11" s="21"/>
      <c r="Q11" s="21"/>
    </row>
    <row r="12" spans="1:17" x14ac:dyDescent="0.25">
      <c r="A12" s="21"/>
      <c r="B12" s="21"/>
      <c r="C12" s="21"/>
      <c r="D12" s="21"/>
      <c r="E12" s="21"/>
      <c r="F12" s="21"/>
      <c r="G12" s="21"/>
      <c r="H12" s="21"/>
      <c r="I12" s="21"/>
      <c r="J12" s="21"/>
      <c r="K12" s="21"/>
      <c r="L12" s="21"/>
      <c r="M12" s="21"/>
      <c r="N12" s="21"/>
      <c r="O12" s="21"/>
      <c r="P12" s="21"/>
      <c r="Q12" s="21"/>
    </row>
    <row r="13" spans="1:17" x14ac:dyDescent="0.25">
      <c r="A13" s="21"/>
      <c r="B13" s="21"/>
      <c r="C13" s="21"/>
      <c r="D13" s="21"/>
      <c r="E13" s="21"/>
      <c r="F13" s="21"/>
      <c r="G13" s="21"/>
      <c r="H13" s="21"/>
      <c r="I13" s="21"/>
      <c r="J13" s="21"/>
      <c r="K13" s="21"/>
      <c r="L13" s="21"/>
      <c r="M13" s="21"/>
      <c r="N13" s="21"/>
      <c r="O13" s="21"/>
      <c r="P13" s="21"/>
      <c r="Q13" s="21"/>
    </row>
    <row r="14" spans="1:17" x14ac:dyDescent="0.25">
      <c r="A14" s="21"/>
      <c r="B14" s="21"/>
      <c r="C14" s="21"/>
      <c r="D14" s="21"/>
      <c r="E14" s="21"/>
      <c r="F14" s="21"/>
      <c r="G14" s="21"/>
      <c r="H14" s="21"/>
      <c r="I14" s="21"/>
      <c r="J14" s="21"/>
      <c r="K14" s="21"/>
      <c r="L14" s="21"/>
      <c r="M14" s="21"/>
      <c r="N14" s="21"/>
      <c r="O14" s="21"/>
      <c r="P14" s="21"/>
      <c r="Q14" s="21"/>
    </row>
    <row r="15" spans="1:17" x14ac:dyDescent="0.25">
      <c r="A15" s="21"/>
      <c r="B15" s="21"/>
      <c r="C15" s="21"/>
      <c r="D15" s="21"/>
      <c r="E15" s="21"/>
      <c r="F15" s="21"/>
      <c r="G15" s="21"/>
      <c r="H15" s="21"/>
      <c r="I15" s="21"/>
      <c r="J15" s="21"/>
      <c r="K15" s="21"/>
      <c r="L15" s="21"/>
      <c r="M15" s="21"/>
      <c r="N15" s="21"/>
      <c r="O15" s="21"/>
      <c r="P15" s="21"/>
      <c r="Q15" s="21"/>
    </row>
    <row r="16" spans="1:17" x14ac:dyDescent="0.25">
      <c r="A16" s="21"/>
      <c r="B16" s="21"/>
      <c r="C16" s="21"/>
      <c r="D16" s="21"/>
      <c r="E16" s="21"/>
      <c r="F16" s="21"/>
      <c r="G16" s="21"/>
      <c r="H16" s="21"/>
      <c r="I16" s="21"/>
      <c r="J16" s="21"/>
      <c r="K16" s="21"/>
      <c r="L16" s="21"/>
      <c r="M16" s="21"/>
      <c r="N16" s="21"/>
      <c r="O16" s="21"/>
      <c r="P16" s="21"/>
      <c r="Q16" s="21"/>
    </row>
    <row r="17" spans="1:17" x14ac:dyDescent="0.25">
      <c r="A17" s="21"/>
      <c r="B17" s="21"/>
      <c r="C17" s="21"/>
      <c r="D17" s="21"/>
      <c r="E17" s="21"/>
      <c r="F17" s="21"/>
      <c r="G17" s="21"/>
      <c r="H17" s="21"/>
      <c r="I17" s="21"/>
      <c r="J17" s="21"/>
      <c r="K17" s="21"/>
      <c r="L17" s="21"/>
      <c r="M17" s="21"/>
      <c r="N17" s="21"/>
      <c r="O17" s="21"/>
      <c r="P17" s="21"/>
      <c r="Q17" s="21"/>
    </row>
    <row r="18" spans="1:17" x14ac:dyDescent="0.25">
      <c r="A18" s="21"/>
      <c r="B18" s="21"/>
      <c r="C18" s="21"/>
      <c r="D18" s="21"/>
      <c r="E18" s="21"/>
      <c r="F18" s="21"/>
      <c r="G18" s="21"/>
      <c r="H18" s="21"/>
      <c r="I18" s="21"/>
      <c r="J18" s="21"/>
      <c r="K18" s="21"/>
      <c r="L18" s="21"/>
      <c r="M18" s="21"/>
      <c r="N18" s="21"/>
      <c r="O18" s="21"/>
      <c r="P18" s="21"/>
      <c r="Q18" s="21"/>
    </row>
    <row r="19" spans="1:17" x14ac:dyDescent="0.25">
      <c r="A19" s="21"/>
      <c r="B19" s="21"/>
      <c r="C19" s="21"/>
      <c r="D19" s="21"/>
      <c r="E19" s="21"/>
      <c r="F19" s="21"/>
      <c r="G19" s="21"/>
      <c r="H19" s="21"/>
      <c r="I19" s="21"/>
      <c r="J19" s="21"/>
      <c r="K19" s="21"/>
      <c r="L19" s="21"/>
      <c r="M19" s="21"/>
      <c r="N19" s="21"/>
      <c r="O19" s="21"/>
      <c r="P19" s="21"/>
      <c r="Q19" s="21"/>
    </row>
    <row r="20" spans="1:17" x14ac:dyDescent="0.25">
      <c r="A20" s="21"/>
      <c r="B20" s="21"/>
      <c r="C20" s="21"/>
      <c r="D20" s="21"/>
      <c r="E20" s="21"/>
      <c r="F20" s="21"/>
      <c r="G20" s="21"/>
      <c r="H20" s="21"/>
      <c r="I20" s="21"/>
      <c r="J20" s="21"/>
      <c r="K20" s="21"/>
      <c r="L20" s="21"/>
      <c r="M20" s="21"/>
      <c r="N20" s="21"/>
      <c r="O20" s="21"/>
      <c r="P20" s="21"/>
      <c r="Q20" s="21"/>
    </row>
    <row r="21" spans="1:17" x14ac:dyDescent="0.25">
      <c r="A21" s="21"/>
      <c r="B21" s="21"/>
      <c r="C21" s="21"/>
      <c r="D21" s="21"/>
      <c r="E21" s="21"/>
      <c r="F21" s="21"/>
      <c r="G21" s="21"/>
      <c r="H21" s="21"/>
      <c r="I21" s="21"/>
      <c r="J21" s="21"/>
      <c r="K21" s="21"/>
      <c r="L21" s="21"/>
      <c r="M21" s="21"/>
      <c r="N21" s="21"/>
      <c r="O21" s="21"/>
      <c r="P21" s="21"/>
      <c r="Q21" s="21"/>
    </row>
    <row r="22" spans="1:17" x14ac:dyDescent="0.25">
      <c r="A22" s="21"/>
      <c r="B22" s="21"/>
      <c r="C22" s="21"/>
      <c r="D22" s="21"/>
      <c r="E22" s="21"/>
      <c r="F22" s="21"/>
      <c r="G22" s="21"/>
      <c r="H22" s="21"/>
      <c r="I22" s="21"/>
      <c r="J22" s="21"/>
      <c r="K22" s="21"/>
      <c r="L22" s="21"/>
      <c r="M22" s="21"/>
      <c r="N22" s="21"/>
      <c r="O22" s="21"/>
      <c r="P22" s="21"/>
      <c r="Q22" s="21"/>
    </row>
    <row r="23" spans="1:17" x14ac:dyDescent="0.25">
      <c r="A23" s="21"/>
      <c r="B23" s="21"/>
      <c r="C23" s="21"/>
      <c r="D23" s="21"/>
      <c r="E23" s="21"/>
      <c r="F23" s="21"/>
      <c r="G23" s="21"/>
      <c r="H23" s="21"/>
      <c r="I23" s="21"/>
      <c r="J23" s="21"/>
      <c r="K23" s="21"/>
      <c r="L23" s="21"/>
      <c r="M23" s="21"/>
      <c r="N23" s="21"/>
      <c r="O23" s="21"/>
      <c r="P23" s="21"/>
      <c r="Q23" s="21"/>
    </row>
    <row r="24" spans="1:17" x14ac:dyDescent="0.25">
      <c r="A24" s="21"/>
      <c r="B24" s="21"/>
      <c r="C24" s="21"/>
      <c r="D24" s="21"/>
      <c r="E24" s="21"/>
      <c r="F24" s="21"/>
      <c r="G24" s="21"/>
      <c r="H24" s="21"/>
      <c r="I24" s="21"/>
      <c r="J24" s="21"/>
      <c r="K24" s="21"/>
      <c r="L24" s="21"/>
      <c r="M24" s="21"/>
      <c r="N24" s="21"/>
      <c r="O24" s="21"/>
      <c r="P24" s="21"/>
      <c r="Q24" s="21"/>
    </row>
    <row r="25" spans="1:17" x14ac:dyDescent="0.25">
      <c r="A25" s="21"/>
      <c r="B25" s="21"/>
      <c r="C25" s="21"/>
      <c r="D25" s="21"/>
      <c r="E25" s="21"/>
      <c r="F25" s="21"/>
      <c r="G25" s="21"/>
      <c r="H25" s="21"/>
      <c r="I25" s="21"/>
      <c r="J25" s="21"/>
      <c r="K25" s="21"/>
      <c r="L25" s="21"/>
      <c r="M25" s="21"/>
      <c r="N25" s="21"/>
      <c r="O25" s="21"/>
      <c r="P25" s="21"/>
      <c r="Q25" s="21"/>
    </row>
    <row r="26" spans="1:17" x14ac:dyDescent="0.25">
      <c r="A26" s="21"/>
      <c r="B26" s="21"/>
      <c r="C26" s="21"/>
      <c r="D26" s="21"/>
      <c r="E26" s="21"/>
      <c r="F26" s="21"/>
      <c r="G26" s="21"/>
      <c r="H26" s="21"/>
      <c r="I26" s="21"/>
      <c r="J26" s="21"/>
      <c r="K26" s="21"/>
      <c r="L26" s="21"/>
      <c r="M26" s="21"/>
      <c r="N26" s="21"/>
      <c r="O26" s="21"/>
      <c r="P26" s="21"/>
      <c r="Q26" s="21"/>
    </row>
    <row r="27" spans="1:17" x14ac:dyDescent="0.25">
      <c r="A27" s="21"/>
      <c r="B27" s="21"/>
      <c r="C27" s="21"/>
      <c r="D27" s="21"/>
      <c r="E27" s="21"/>
      <c r="F27" s="21"/>
      <c r="G27" s="21"/>
      <c r="H27" s="21"/>
      <c r="I27" s="21"/>
      <c r="J27" s="21"/>
      <c r="K27" s="21"/>
      <c r="L27" s="21"/>
      <c r="M27" s="21"/>
      <c r="N27" s="21"/>
      <c r="O27" s="21"/>
      <c r="P27" s="21"/>
      <c r="Q27" s="21"/>
    </row>
    <row r="28" spans="1:17" x14ac:dyDescent="0.25">
      <c r="A28" s="21"/>
      <c r="B28" s="21"/>
      <c r="C28" s="21"/>
      <c r="D28" s="21"/>
      <c r="E28" s="21"/>
      <c r="F28" s="21"/>
      <c r="G28" s="21"/>
      <c r="H28" s="21"/>
      <c r="I28" s="21"/>
      <c r="J28" s="21"/>
      <c r="K28" s="21"/>
      <c r="L28" s="21"/>
      <c r="M28" s="21"/>
      <c r="N28" s="21"/>
      <c r="O28" s="21"/>
      <c r="P28" s="21"/>
      <c r="Q28" s="21"/>
    </row>
    <row r="29" spans="1:17" x14ac:dyDescent="0.25">
      <c r="A29" s="21"/>
      <c r="B29" s="21"/>
      <c r="C29" s="21"/>
      <c r="D29" s="21"/>
      <c r="E29" s="21"/>
      <c r="F29" s="21"/>
      <c r="G29" s="21"/>
      <c r="H29" s="21"/>
      <c r="I29" s="21"/>
      <c r="J29" s="21"/>
      <c r="K29" s="21"/>
      <c r="L29" s="21"/>
      <c r="M29" s="21"/>
      <c r="N29" s="21"/>
      <c r="O29" s="21"/>
      <c r="P29" s="21"/>
      <c r="Q29" s="21"/>
    </row>
    <row r="30" spans="1:17" x14ac:dyDescent="0.25">
      <c r="A30" s="21"/>
      <c r="B30" s="21"/>
      <c r="C30" s="21"/>
      <c r="D30" s="21"/>
      <c r="E30" s="21"/>
      <c r="F30" s="21"/>
      <c r="G30" s="21"/>
      <c r="H30" s="21"/>
      <c r="I30" s="21"/>
      <c r="J30" s="21"/>
      <c r="K30" s="21"/>
      <c r="L30" s="21"/>
      <c r="M30" s="21"/>
      <c r="N30" s="21"/>
      <c r="O30" s="21"/>
      <c r="P30" s="21"/>
      <c r="Q30" s="21"/>
    </row>
    <row r="31" spans="1:17" x14ac:dyDescent="0.25">
      <c r="A31" s="21"/>
      <c r="B31" s="21"/>
      <c r="C31" s="21"/>
      <c r="D31" s="21"/>
      <c r="E31" s="21"/>
      <c r="F31" s="21"/>
      <c r="G31" s="21"/>
      <c r="H31" s="21"/>
      <c r="I31" s="21"/>
      <c r="J31" s="21"/>
      <c r="K31" s="21"/>
      <c r="L31" s="21"/>
      <c r="M31" s="21"/>
      <c r="N31" s="21"/>
      <c r="O31" s="21"/>
      <c r="P31" s="21"/>
      <c r="Q31" s="21"/>
    </row>
    <row r="32" spans="1:17" x14ac:dyDescent="0.25">
      <c r="A32" s="21"/>
      <c r="B32" s="21"/>
      <c r="C32" s="21"/>
      <c r="D32" s="21"/>
      <c r="E32" s="21"/>
      <c r="F32" s="21"/>
      <c r="G32" s="21"/>
      <c r="H32" s="21"/>
      <c r="I32" s="21"/>
      <c r="J32" s="21"/>
      <c r="K32" s="21"/>
      <c r="L32" s="21"/>
      <c r="M32" s="21"/>
      <c r="N32" s="21"/>
      <c r="O32" s="21"/>
      <c r="P32" s="21"/>
      <c r="Q32" s="21"/>
    </row>
    <row r="33" spans="1:17" x14ac:dyDescent="0.25">
      <c r="A33" s="21"/>
      <c r="B33" s="21"/>
      <c r="C33" s="21"/>
      <c r="D33" s="21"/>
      <c r="E33" s="21"/>
      <c r="F33" s="21"/>
      <c r="G33" s="21"/>
      <c r="H33" s="21"/>
      <c r="I33" s="21"/>
      <c r="J33" s="21"/>
      <c r="K33" s="21"/>
      <c r="L33" s="21"/>
      <c r="M33" s="21"/>
      <c r="N33" s="21"/>
      <c r="O33" s="21"/>
      <c r="P33" s="21"/>
      <c r="Q33" s="21"/>
    </row>
    <row r="34" spans="1:17" x14ac:dyDescent="0.25">
      <c r="A34" s="21"/>
      <c r="B34" s="21"/>
      <c r="C34" s="21"/>
      <c r="D34" s="21"/>
      <c r="E34" s="21"/>
      <c r="F34" s="21"/>
      <c r="G34" s="21"/>
      <c r="H34" s="21"/>
      <c r="I34" s="21"/>
      <c r="J34" s="21"/>
      <c r="K34" s="21"/>
      <c r="L34" s="21"/>
      <c r="M34" s="21"/>
      <c r="N34" s="21"/>
      <c r="O34" s="21"/>
      <c r="P34" s="21"/>
      <c r="Q34" s="21"/>
    </row>
    <row r="35" spans="1:17" x14ac:dyDescent="0.25">
      <c r="A35" s="21"/>
      <c r="B35" s="21"/>
      <c r="C35" s="21"/>
      <c r="D35" s="21"/>
      <c r="E35" s="21"/>
      <c r="F35" s="21"/>
      <c r="G35" s="21"/>
      <c r="H35" s="21"/>
      <c r="I35" s="21"/>
      <c r="J35" s="21"/>
      <c r="K35" s="21"/>
      <c r="L35" s="21"/>
      <c r="M35" s="21"/>
      <c r="N35" s="21"/>
      <c r="O35" s="21"/>
      <c r="P35" s="21"/>
      <c r="Q35" s="21"/>
    </row>
    <row r="36" spans="1:17" x14ac:dyDescent="0.25">
      <c r="A36" s="21"/>
      <c r="B36" s="21"/>
      <c r="C36" s="21"/>
      <c r="D36" s="21"/>
      <c r="E36" s="21"/>
      <c r="F36" s="21"/>
      <c r="G36" s="21"/>
      <c r="H36" s="21"/>
      <c r="I36" s="21"/>
      <c r="J36" s="21"/>
      <c r="K36" s="21"/>
      <c r="L36" s="21"/>
      <c r="M36" s="21"/>
      <c r="N36" s="21"/>
      <c r="O36" s="21"/>
      <c r="P36" s="21"/>
      <c r="Q36" s="21"/>
    </row>
    <row r="37" spans="1:17" x14ac:dyDescent="0.25">
      <c r="A37" s="21"/>
      <c r="B37" s="21"/>
      <c r="C37" s="21"/>
      <c r="D37" s="21"/>
      <c r="E37" s="21"/>
      <c r="F37" s="21"/>
      <c r="G37" s="21"/>
      <c r="H37" s="21"/>
      <c r="I37" s="21"/>
      <c r="J37" s="21"/>
      <c r="K37" s="21"/>
      <c r="L37" s="21"/>
      <c r="M37" s="21"/>
      <c r="N37" s="21"/>
      <c r="O37" s="21"/>
      <c r="P37" s="21"/>
      <c r="Q37" s="21"/>
    </row>
    <row r="38" spans="1:17" x14ac:dyDescent="0.25">
      <c r="A38" s="21"/>
      <c r="B38" s="21"/>
      <c r="C38" s="21"/>
      <c r="D38" s="21"/>
      <c r="E38" s="21"/>
      <c r="F38" s="21"/>
      <c r="G38" s="21"/>
      <c r="H38" s="21"/>
      <c r="I38" s="21"/>
      <c r="J38" s="21"/>
      <c r="K38" s="21"/>
      <c r="L38" s="21"/>
      <c r="M38" s="21"/>
      <c r="N38" s="21"/>
      <c r="O38" s="21"/>
      <c r="P38" s="21"/>
      <c r="Q38" s="21"/>
    </row>
    <row r="39" spans="1:17" x14ac:dyDescent="0.25">
      <c r="A39" s="21"/>
      <c r="B39" s="21"/>
      <c r="C39" s="21"/>
      <c r="D39" s="21"/>
      <c r="E39" s="21"/>
      <c r="F39" s="21"/>
      <c r="G39" s="21"/>
      <c r="H39" s="21"/>
      <c r="I39" s="21"/>
      <c r="J39" s="21"/>
      <c r="K39" s="21"/>
      <c r="L39" s="21"/>
      <c r="M39" s="21"/>
      <c r="N39" s="21"/>
      <c r="O39" s="21"/>
      <c r="P39" s="21"/>
      <c r="Q39" s="21"/>
    </row>
    <row r="40" spans="1:17" x14ac:dyDescent="0.25">
      <c r="A40" s="21"/>
      <c r="B40" s="21"/>
      <c r="C40" s="21"/>
      <c r="D40" s="21"/>
      <c r="E40" s="21"/>
      <c r="F40" s="21"/>
      <c r="G40" s="21"/>
      <c r="H40" s="21"/>
      <c r="I40" s="21"/>
      <c r="J40" s="21"/>
      <c r="K40" s="21"/>
      <c r="L40" s="21"/>
      <c r="M40" s="21"/>
      <c r="N40" s="21"/>
      <c r="O40" s="21"/>
      <c r="P40" s="21"/>
      <c r="Q40" s="21"/>
    </row>
    <row r="41" spans="1:17" x14ac:dyDescent="0.25">
      <c r="A41" s="21"/>
      <c r="B41" s="21"/>
      <c r="C41" s="21"/>
      <c r="D41" s="21"/>
      <c r="E41" s="21"/>
      <c r="F41" s="21"/>
      <c r="G41" s="21"/>
      <c r="H41" s="21"/>
      <c r="I41" s="21"/>
      <c r="J41" s="21"/>
      <c r="K41" s="21"/>
      <c r="L41" s="21"/>
      <c r="M41" s="21"/>
      <c r="N41" s="21"/>
      <c r="O41" s="21"/>
      <c r="P41" s="21"/>
      <c r="Q41" s="21"/>
    </row>
    <row r="42" spans="1:17" x14ac:dyDescent="0.25">
      <c r="A42" s="21"/>
      <c r="B42" s="21"/>
      <c r="C42" s="21"/>
      <c r="D42" s="21"/>
      <c r="E42" s="21"/>
      <c r="F42" s="21"/>
      <c r="G42" s="21"/>
      <c r="H42" s="21"/>
      <c r="I42" s="21"/>
      <c r="J42" s="21"/>
      <c r="K42" s="21"/>
      <c r="L42" s="21"/>
      <c r="M42" s="21"/>
      <c r="N42" s="21"/>
      <c r="O42" s="21"/>
      <c r="P42" s="21"/>
      <c r="Q42" s="21"/>
    </row>
    <row r="43" spans="1:17" x14ac:dyDescent="0.25">
      <c r="A43" s="21"/>
      <c r="B43" s="21"/>
      <c r="C43" s="21"/>
      <c r="D43" s="21"/>
      <c r="E43" s="21"/>
      <c r="F43" s="21"/>
      <c r="G43" s="21"/>
      <c r="H43" s="21"/>
      <c r="I43" s="21"/>
      <c r="J43" s="21"/>
      <c r="K43" s="21"/>
      <c r="L43" s="21"/>
      <c r="M43" s="21"/>
      <c r="N43" s="21"/>
      <c r="O43" s="21"/>
      <c r="P43" s="21"/>
      <c r="Q43" s="21"/>
    </row>
    <row r="44" spans="1:17" x14ac:dyDescent="0.25">
      <c r="A44" s="21"/>
      <c r="B44" s="21"/>
      <c r="C44" s="21"/>
      <c r="D44" s="21"/>
      <c r="E44" s="21"/>
      <c r="F44" s="21"/>
      <c r="G44" s="21"/>
      <c r="H44" s="21"/>
      <c r="I44" s="21"/>
      <c r="J44" s="21"/>
      <c r="K44" s="21"/>
      <c r="L44" s="21"/>
      <c r="M44" s="21"/>
      <c r="N44" s="21"/>
      <c r="O44" s="21"/>
      <c r="P44" s="21"/>
      <c r="Q44" s="21"/>
    </row>
    <row r="45" spans="1:17" x14ac:dyDescent="0.25">
      <c r="A45" s="21"/>
      <c r="B45" s="21"/>
      <c r="C45" s="21"/>
      <c r="D45" s="21"/>
      <c r="E45" s="21"/>
      <c r="F45" s="21"/>
      <c r="G45" s="21"/>
      <c r="H45" s="21"/>
      <c r="I45" s="21"/>
      <c r="J45" s="21"/>
      <c r="K45" s="21"/>
      <c r="L45" s="21"/>
      <c r="M45" s="21"/>
      <c r="N45" s="21"/>
      <c r="O45" s="21"/>
      <c r="P45" s="21"/>
      <c r="Q45" s="21"/>
    </row>
    <row r="46" spans="1:17" x14ac:dyDescent="0.25">
      <c r="A46" s="21"/>
      <c r="B46" s="21"/>
      <c r="C46" s="21"/>
      <c r="D46" s="21"/>
      <c r="E46" s="21"/>
      <c r="F46" s="21"/>
      <c r="G46" s="21"/>
      <c r="H46" s="21"/>
      <c r="I46" s="21"/>
      <c r="J46" s="21"/>
      <c r="K46" s="21"/>
      <c r="L46" s="21"/>
      <c r="M46" s="21"/>
      <c r="N46" s="21"/>
      <c r="O46" s="21"/>
      <c r="P46" s="21"/>
      <c r="Q46" s="21"/>
    </row>
    <row r="47" spans="1:17" x14ac:dyDescent="0.25">
      <c r="A47" s="21"/>
      <c r="B47" s="21"/>
      <c r="C47" s="21"/>
      <c r="D47" s="21"/>
      <c r="E47" s="21"/>
      <c r="F47" s="21"/>
      <c r="G47" s="21"/>
      <c r="H47" s="21"/>
      <c r="I47" s="21"/>
      <c r="J47" s="21"/>
      <c r="K47" s="21"/>
      <c r="L47" s="21"/>
      <c r="M47" s="21"/>
      <c r="N47" s="21"/>
      <c r="O47" s="21"/>
      <c r="P47" s="21"/>
      <c r="Q47" s="21"/>
    </row>
    <row r="48" spans="1:17" x14ac:dyDescent="0.25">
      <c r="A48" s="21"/>
      <c r="B48" s="21"/>
      <c r="C48" s="21"/>
      <c r="D48" s="21"/>
      <c r="E48" s="21"/>
      <c r="F48" s="21"/>
      <c r="G48" s="21"/>
      <c r="H48" s="21"/>
      <c r="I48" s="21"/>
      <c r="J48" s="21"/>
      <c r="K48" s="21"/>
      <c r="L48" s="21"/>
      <c r="M48" s="21"/>
      <c r="N48" s="21"/>
      <c r="O48" s="21"/>
      <c r="P48" s="21"/>
      <c r="Q48" s="21"/>
    </row>
    <row r="49" spans="1:17" x14ac:dyDescent="0.25">
      <c r="A49" s="21"/>
      <c r="B49" s="21"/>
      <c r="C49" s="21"/>
      <c r="D49" s="21"/>
      <c r="E49" s="21"/>
      <c r="F49" s="21"/>
      <c r="G49" s="21"/>
      <c r="H49" s="21"/>
      <c r="I49" s="21"/>
      <c r="J49" s="21"/>
      <c r="K49" s="21"/>
      <c r="L49" s="21"/>
      <c r="M49" s="21"/>
      <c r="N49" s="21"/>
      <c r="O49" s="21"/>
      <c r="P49" s="21"/>
      <c r="Q49" s="21"/>
    </row>
    <row r="50" spans="1:17" x14ac:dyDescent="0.25">
      <c r="A50" s="21"/>
      <c r="B50" s="21"/>
      <c r="C50" s="21"/>
      <c r="D50" s="21"/>
      <c r="E50" s="21"/>
      <c r="F50" s="21"/>
      <c r="G50" s="21"/>
      <c r="H50" s="21"/>
      <c r="I50" s="21"/>
      <c r="J50" s="21"/>
      <c r="K50" s="21"/>
      <c r="L50" s="21"/>
      <c r="M50" s="21"/>
      <c r="N50" s="21"/>
      <c r="O50" s="21"/>
      <c r="P50" s="21"/>
      <c r="Q50" s="21"/>
    </row>
    <row r="51" spans="1:17" x14ac:dyDescent="0.25">
      <c r="A51" s="21"/>
      <c r="B51" s="21"/>
      <c r="C51" s="21"/>
      <c r="D51" s="21"/>
      <c r="E51" s="21"/>
      <c r="F51" s="21"/>
      <c r="G51" s="21"/>
      <c r="H51" s="21"/>
      <c r="I51" s="21"/>
      <c r="J51" s="21"/>
      <c r="K51" s="21"/>
      <c r="L51" s="21"/>
      <c r="M51" s="21"/>
      <c r="N51" s="21"/>
      <c r="O51" s="21"/>
      <c r="P51" s="21"/>
      <c r="Q51" s="21"/>
    </row>
    <row r="52" spans="1:17" x14ac:dyDescent="0.25">
      <c r="A52" s="21"/>
      <c r="B52" s="21"/>
      <c r="C52" s="21"/>
      <c r="D52" s="21"/>
      <c r="E52" s="21"/>
      <c r="F52" s="21"/>
      <c r="G52" s="21"/>
      <c r="H52" s="21"/>
      <c r="I52" s="21"/>
      <c r="J52" s="21"/>
      <c r="K52" s="21"/>
      <c r="L52" s="21"/>
      <c r="M52" s="21"/>
      <c r="N52" s="21"/>
      <c r="O52" s="21"/>
      <c r="P52" s="21"/>
      <c r="Q52" s="21"/>
    </row>
    <row r="53" spans="1:17" x14ac:dyDescent="0.25">
      <c r="A53" s="21"/>
      <c r="B53" s="21"/>
      <c r="C53" s="21"/>
      <c r="D53" s="21"/>
      <c r="E53" s="21"/>
      <c r="F53" s="21"/>
      <c r="G53" s="21"/>
      <c r="H53" s="21"/>
      <c r="I53" s="21"/>
      <c r="J53" s="21"/>
      <c r="K53" s="21"/>
      <c r="L53" s="21"/>
      <c r="M53" s="21"/>
      <c r="N53" s="21"/>
      <c r="O53" s="21"/>
      <c r="P53" s="21"/>
      <c r="Q53" s="21"/>
    </row>
    <row r="54" spans="1:17" x14ac:dyDescent="0.25">
      <c r="A54" s="21"/>
      <c r="B54" s="21"/>
      <c r="C54" s="21"/>
      <c r="D54" s="21"/>
      <c r="E54" s="21"/>
      <c r="F54" s="21"/>
      <c r="G54" s="21"/>
      <c r="H54" s="21"/>
      <c r="I54" s="21"/>
      <c r="J54" s="21"/>
      <c r="K54" s="21"/>
      <c r="L54" s="21"/>
      <c r="M54" s="21"/>
      <c r="N54" s="21"/>
      <c r="O54" s="21"/>
      <c r="P54" s="21"/>
      <c r="Q54" s="21"/>
    </row>
    <row r="55" spans="1:17" x14ac:dyDescent="0.25">
      <c r="A55" s="21"/>
      <c r="B55" s="21"/>
      <c r="C55" s="21"/>
      <c r="D55" s="21"/>
      <c r="E55" s="21"/>
      <c r="F55" s="21"/>
      <c r="G55" s="21"/>
      <c r="H55" s="21"/>
      <c r="I55" s="21"/>
      <c r="J55" s="21"/>
      <c r="K55" s="21"/>
      <c r="L55" s="21"/>
      <c r="M55" s="21"/>
      <c r="N55" s="21"/>
      <c r="O55" s="21"/>
      <c r="P55" s="21"/>
      <c r="Q55" s="21"/>
    </row>
    <row r="56" spans="1:17" x14ac:dyDescent="0.25">
      <c r="A56" s="21"/>
      <c r="B56" s="21"/>
      <c r="C56" s="21"/>
      <c r="D56" s="21"/>
      <c r="E56" s="21"/>
      <c r="F56" s="21"/>
      <c r="G56" s="21"/>
      <c r="H56" s="21"/>
      <c r="I56" s="21"/>
      <c r="J56" s="21"/>
      <c r="K56" s="21"/>
      <c r="L56" s="21"/>
      <c r="M56" s="21"/>
      <c r="N56" s="21"/>
      <c r="O56" s="21"/>
      <c r="P56" s="21"/>
      <c r="Q56" s="21"/>
    </row>
    <row r="57" spans="1:17" x14ac:dyDescent="0.25">
      <c r="A57" s="21"/>
      <c r="B57" s="21"/>
      <c r="C57" s="21"/>
      <c r="D57" s="21"/>
      <c r="E57" s="21"/>
      <c r="F57" s="21"/>
      <c r="G57" s="21"/>
      <c r="H57" s="21"/>
      <c r="I57" s="21"/>
      <c r="J57" s="21"/>
      <c r="K57" s="21"/>
      <c r="L57" s="21"/>
      <c r="M57" s="21"/>
      <c r="N57" s="21"/>
      <c r="O57" s="21"/>
      <c r="P57" s="21"/>
      <c r="Q57" s="21"/>
    </row>
    <row r="58" spans="1:17" x14ac:dyDescent="0.25">
      <c r="A58" s="21"/>
      <c r="B58" s="21"/>
      <c r="C58" s="21"/>
      <c r="D58" s="21"/>
      <c r="E58" s="21"/>
      <c r="F58" s="21"/>
      <c r="G58" s="21"/>
      <c r="H58" s="21"/>
      <c r="I58" s="21"/>
      <c r="J58" s="21"/>
      <c r="K58" s="21"/>
      <c r="L58" s="21"/>
      <c r="M58" s="21"/>
      <c r="N58" s="21"/>
      <c r="O58" s="21"/>
      <c r="P58" s="21"/>
      <c r="Q58" s="21"/>
    </row>
    <row r="59" spans="1:17" x14ac:dyDescent="0.25">
      <c r="A59" s="21"/>
      <c r="B59" s="21"/>
      <c r="C59" s="21"/>
      <c r="D59" s="21"/>
      <c r="E59" s="21"/>
      <c r="F59" s="21"/>
      <c r="G59" s="21"/>
      <c r="H59" s="21"/>
      <c r="I59" s="21"/>
      <c r="J59" s="21"/>
      <c r="K59" s="21"/>
      <c r="L59" s="21"/>
      <c r="M59" s="21"/>
      <c r="N59" s="21"/>
      <c r="O59" s="21"/>
      <c r="P59" s="21"/>
      <c r="Q59" s="21"/>
    </row>
  </sheetData>
  <mergeCells count="1">
    <mergeCell ref="A1:Q5"/>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F93A3-C75B-438B-B7CE-4B43F0AFBC8B}">
  <dimension ref="A3:I45"/>
  <sheetViews>
    <sheetView topLeftCell="A8" workbookViewId="0">
      <selection activeCell="I18" sqref="I18"/>
    </sheetView>
  </sheetViews>
  <sheetFormatPr defaultRowHeight="15" x14ac:dyDescent="0.25"/>
  <cols>
    <col min="1" max="1" width="12.42578125" bestFit="1" customWidth="1"/>
    <col min="2" max="2" width="11.140625" bestFit="1" customWidth="1"/>
    <col min="5" max="5" width="17.5703125" bestFit="1" customWidth="1"/>
    <col min="6" max="6" width="15.7109375" bestFit="1" customWidth="1"/>
    <col min="8" max="8" width="17.5703125" bestFit="1" customWidth="1"/>
    <col min="9" max="9" width="15.7109375" bestFit="1" customWidth="1"/>
  </cols>
  <sheetData>
    <row r="3" spans="1:9" x14ac:dyDescent="0.25">
      <c r="A3" s="19" t="s">
        <v>78</v>
      </c>
      <c r="B3" t="s">
        <v>80</v>
      </c>
    </row>
    <row r="4" spans="1:9" x14ac:dyDescent="0.25">
      <c r="A4" s="20" t="s">
        <v>14</v>
      </c>
      <c r="B4">
        <v>2.95</v>
      </c>
    </row>
    <row r="5" spans="1:9" x14ac:dyDescent="0.25">
      <c r="A5" s="20" t="s">
        <v>21</v>
      </c>
      <c r="B5">
        <v>12.990000000000007</v>
      </c>
      <c r="H5" s="19" t="s">
        <v>78</v>
      </c>
      <c r="I5" t="s">
        <v>82</v>
      </c>
    </row>
    <row r="6" spans="1:9" x14ac:dyDescent="0.25">
      <c r="A6" s="20" t="s">
        <v>25</v>
      </c>
      <c r="B6">
        <v>10.317307692307686</v>
      </c>
      <c r="H6" s="20" t="s">
        <v>40</v>
      </c>
      <c r="I6">
        <v>61</v>
      </c>
    </row>
    <row r="7" spans="1:9" x14ac:dyDescent="0.25">
      <c r="A7" s="20" t="s">
        <v>9</v>
      </c>
      <c r="B7">
        <v>3.9215686274509824</v>
      </c>
      <c r="H7" s="20" t="s">
        <v>18</v>
      </c>
      <c r="I7">
        <v>86</v>
      </c>
    </row>
    <row r="8" spans="1:9" x14ac:dyDescent="0.25">
      <c r="A8" s="20" t="s">
        <v>17</v>
      </c>
      <c r="B8">
        <v>4.9900000000000029</v>
      </c>
      <c r="H8" s="20" t="s">
        <v>10</v>
      </c>
      <c r="I8">
        <v>107</v>
      </c>
    </row>
    <row r="9" spans="1:9" x14ac:dyDescent="0.25">
      <c r="A9" s="20" t="s">
        <v>79</v>
      </c>
      <c r="B9">
        <v>7.1023228346456833</v>
      </c>
      <c r="H9" s="20" t="s">
        <v>79</v>
      </c>
      <c r="I9">
        <v>254</v>
      </c>
    </row>
    <row r="12" spans="1:9" x14ac:dyDescent="0.25">
      <c r="A12" s="19" t="s">
        <v>78</v>
      </c>
      <c r="B12" t="s">
        <v>81</v>
      </c>
      <c r="F12" s="26"/>
      <c r="G12" s="26"/>
      <c r="H12" s="26"/>
    </row>
    <row r="13" spans="1:9" x14ac:dyDescent="0.25">
      <c r="A13" s="22">
        <v>999.99600000000009</v>
      </c>
      <c r="B13">
        <v>4.99</v>
      </c>
      <c r="F13" s="26"/>
      <c r="G13" s="26"/>
      <c r="H13" s="26"/>
    </row>
    <row r="14" spans="1:9" x14ac:dyDescent="0.25">
      <c r="A14" s="22">
        <v>2000.0115000000003</v>
      </c>
      <c r="B14">
        <v>2.95</v>
      </c>
      <c r="F14" s="26"/>
      <c r="G14" s="26"/>
      <c r="I14" t="s">
        <v>83</v>
      </c>
    </row>
    <row r="15" spans="1:9" x14ac:dyDescent="0.25">
      <c r="A15" s="22">
        <v>2000.0143000000003</v>
      </c>
      <c r="B15">
        <v>3.49</v>
      </c>
      <c r="F15" s="26"/>
      <c r="G15" s="26"/>
      <c r="H15" s="20" t="s">
        <v>14</v>
      </c>
      <c r="I15">
        <v>2199.9920000000002</v>
      </c>
    </row>
    <row r="16" spans="1:9" x14ac:dyDescent="0.25">
      <c r="A16" s="22">
        <v>2000.0494999999999</v>
      </c>
      <c r="B16">
        <v>9.9499999999999993</v>
      </c>
      <c r="F16" s="26"/>
      <c r="G16" s="26"/>
      <c r="H16" s="20" t="s">
        <v>21</v>
      </c>
      <c r="I16">
        <v>9800.0456999999988</v>
      </c>
    </row>
    <row r="17" spans="1:9" x14ac:dyDescent="0.25">
      <c r="A17" s="22">
        <v>2199.9913000000001</v>
      </c>
      <c r="B17">
        <v>3.49</v>
      </c>
      <c r="F17" s="26"/>
      <c r="G17" s="26"/>
      <c r="H17" s="20" t="s">
        <v>25</v>
      </c>
      <c r="I17">
        <v>5839.3405000000002</v>
      </c>
    </row>
    <row r="18" spans="1:9" x14ac:dyDescent="0.25">
      <c r="A18" s="22">
        <v>2199.9920000000002</v>
      </c>
      <c r="B18">
        <v>2.95</v>
      </c>
      <c r="F18" s="26"/>
      <c r="G18" s="26"/>
      <c r="H18" s="20" t="s">
        <v>9</v>
      </c>
      <c r="I18">
        <v>16074.434999999999</v>
      </c>
    </row>
    <row r="19" spans="1:9" x14ac:dyDescent="0.25">
      <c r="A19" s="22">
        <v>2200.0445</v>
      </c>
      <c r="B19">
        <v>9.9499999999999993</v>
      </c>
      <c r="F19" s="26"/>
      <c r="G19" s="26"/>
      <c r="H19" s="20" t="s">
        <v>17</v>
      </c>
      <c r="I19">
        <v>999.99600000000009</v>
      </c>
    </row>
    <row r="20" spans="1:9" x14ac:dyDescent="0.25">
      <c r="A20" s="22">
        <v>2400.0032000000001</v>
      </c>
      <c r="B20">
        <v>3.49</v>
      </c>
      <c r="F20" s="26"/>
      <c r="G20" s="26"/>
      <c r="H20" s="27" t="s">
        <v>79</v>
      </c>
      <c r="I20">
        <v>16074.434999999999</v>
      </c>
    </row>
    <row r="21" spans="1:9" x14ac:dyDescent="0.25">
      <c r="A21" s="22" t="s">
        <v>79</v>
      </c>
      <c r="B21">
        <v>9.9499999999999993</v>
      </c>
      <c r="F21" s="26"/>
      <c r="G21" s="26"/>
    </row>
    <row r="22" spans="1:9" x14ac:dyDescent="0.25">
      <c r="F22" s="26"/>
      <c r="G22" s="26"/>
    </row>
    <row r="23" spans="1:9" x14ac:dyDescent="0.25">
      <c r="F23" s="26"/>
      <c r="G23" s="26"/>
    </row>
    <row r="24" spans="1:9" x14ac:dyDescent="0.25">
      <c r="F24" s="26"/>
      <c r="G24" s="26"/>
    </row>
    <row r="25" spans="1:9" x14ac:dyDescent="0.25">
      <c r="F25" s="26"/>
      <c r="G25" s="26"/>
    </row>
    <row r="26" spans="1:9" x14ac:dyDescent="0.25">
      <c r="F26" s="26"/>
      <c r="G26" s="26"/>
    </row>
    <row r="27" spans="1:9" x14ac:dyDescent="0.25">
      <c r="E27" s="19" t="s">
        <v>78</v>
      </c>
      <c r="F27" s="26" t="s">
        <v>91</v>
      </c>
      <c r="G27" s="26"/>
    </row>
    <row r="28" spans="1:9" x14ac:dyDescent="0.25">
      <c r="B28">
        <f>MIN('Cleaned Data'!D2:D255)</f>
        <v>2.95</v>
      </c>
      <c r="E28" s="20" t="s">
        <v>14</v>
      </c>
      <c r="F28" s="26">
        <v>34983.140000000007</v>
      </c>
      <c r="G28" s="26"/>
    </row>
    <row r="29" spans="1:9" x14ac:dyDescent="0.25">
      <c r="E29" s="20" t="s">
        <v>21</v>
      </c>
      <c r="F29" s="26">
        <v>29022.309999999994</v>
      </c>
      <c r="G29" s="26"/>
    </row>
    <row r="30" spans="1:9" x14ac:dyDescent="0.25">
      <c r="E30" s="20" t="s">
        <v>25</v>
      </c>
      <c r="F30" s="26">
        <v>11135.920000000002</v>
      </c>
      <c r="G30" s="26"/>
    </row>
    <row r="31" spans="1:9" x14ac:dyDescent="0.25">
      <c r="E31" s="20" t="s">
        <v>9</v>
      </c>
      <c r="F31" s="26">
        <v>32034.339999999986</v>
      </c>
      <c r="G31" s="26"/>
    </row>
    <row r="32" spans="1:9" x14ac:dyDescent="0.25">
      <c r="E32" s="20" t="s">
        <v>17</v>
      </c>
      <c r="F32" s="26">
        <v>9819.5999999999913</v>
      </c>
      <c r="G32" s="26"/>
    </row>
    <row r="33" spans="5:7" x14ac:dyDescent="0.25">
      <c r="E33" s="20" t="s">
        <v>79</v>
      </c>
      <c r="F33" s="26">
        <v>116995.30999999997</v>
      </c>
      <c r="G33" s="26"/>
    </row>
    <row r="34" spans="5:7" x14ac:dyDescent="0.25">
      <c r="F34" s="26"/>
      <c r="G34" s="26"/>
    </row>
    <row r="35" spans="5:7" x14ac:dyDescent="0.25">
      <c r="F35" s="26"/>
      <c r="G35" s="26"/>
    </row>
    <row r="36" spans="5:7" x14ac:dyDescent="0.25">
      <c r="F36" s="26"/>
      <c r="G36" s="26"/>
    </row>
    <row r="37" spans="5:7" x14ac:dyDescent="0.25">
      <c r="E37" s="19" t="s">
        <v>78</v>
      </c>
      <c r="F37" s="26" t="s">
        <v>92</v>
      </c>
      <c r="G37" s="26"/>
    </row>
    <row r="38" spans="5:7" x14ac:dyDescent="0.25">
      <c r="E38" s="20" t="s">
        <v>14</v>
      </c>
      <c r="F38" s="25">
        <v>103200.26299999992</v>
      </c>
      <c r="G38" s="26"/>
    </row>
    <row r="39" spans="5:7" x14ac:dyDescent="0.25">
      <c r="E39" s="20" t="s">
        <v>21</v>
      </c>
      <c r="F39" s="25">
        <v>376999.80689999991</v>
      </c>
    </row>
    <row r="40" spans="5:7" x14ac:dyDescent="0.25">
      <c r="E40" s="20" t="s">
        <v>25</v>
      </c>
      <c r="F40" s="25">
        <v>114641.69500000002</v>
      </c>
    </row>
    <row r="41" spans="5:7" x14ac:dyDescent="0.25">
      <c r="E41" s="20" t="s">
        <v>9</v>
      </c>
      <c r="F41" s="25">
        <v>125674.29029999988</v>
      </c>
    </row>
    <row r="42" spans="5:7" x14ac:dyDescent="0.25">
      <c r="E42" s="20" t="s">
        <v>17</v>
      </c>
      <c r="F42" s="25">
        <v>48999.803999999967</v>
      </c>
    </row>
    <row r="43" spans="5:7" x14ac:dyDescent="0.25">
      <c r="E43" s="20" t="s">
        <v>79</v>
      </c>
      <c r="F43" s="25">
        <v>769515.85919999972</v>
      </c>
    </row>
    <row r="45" spans="5:7" x14ac:dyDescent="0.25">
      <c r="F45" s="4">
        <f>GETPIVOTDATA("Goss sales",$E$37)</f>
        <v>769515.85919999972</v>
      </c>
    </row>
  </sheetData>
  <pageMargins left="0.7" right="0.7" top="0.75" bottom="0.75" header="0.3" footer="0.3"/>
  <drawing r:id="rId7"/>
  <legacyDrawing r:id="rId8"/>
  <extLst>
    <ext xmlns:x14="http://schemas.microsoft.com/office/spreadsheetml/2009/9/main" uri="{05C60535-1F16-4fd2-B633-F4F36F0B64E0}">
      <x14:sparklineGroups xmlns:xm="http://schemas.microsoft.com/office/excel/2006/main">
        <x14:sparklineGroup type="column" displayEmptyCellsAs="gap" high="1" xr2:uid="{C8F033A5-78FB-454D-9474-5A0F1C252E7C}">
          <x14:colorSeries rgb="FF323232"/>
          <x14:colorNegative rgb="FFD00000"/>
          <x14:colorAxis rgb="FF000000"/>
          <x14:colorMarkers rgb="FFD00000"/>
          <x14:colorFirst rgb="FFD00000"/>
          <x14:colorLast rgb="FFD00000"/>
          <x14:colorHigh rgb="FFD00000"/>
          <x14:colorLow rgb="FFD00000"/>
          <x14:sparklines>
            <x14:sparkline>
              <xm:f>Charts!F38:F42</xm:f>
              <xm:sqref>F47</xm:sqref>
            </x14:sparkline>
          </x14:sparklines>
        </x14:sparklineGroup>
        <x14:sparklineGroup type="column" displayEmptyCellsAs="gap" xr2:uid="{7ACAB542-B9BA-409D-B71F-A86DDF07998C}">
          <x14:colorSeries rgb="FF376092"/>
          <x14:colorNegative rgb="FFD00000"/>
          <x14:colorAxis rgb="FF000000"/>
          <x14:colorMarkers rgb="FFD00000"/>
          <x14:colorFirst rgb="FFD00000"/>
          <x14:colorLast rgb="FFD00000"/>
          <x14:colorHigh rgb="FFD00000"/>
          <x14:colorLow rgb="FFD00000"/>
          <x14:sparklines>
            <x14:sparkline>
              <xm:f>Charts!B28</xm:f>
              <xm:sqref>B29</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33E9-4C16-4A87-BC6C-9864376223A5}">
  <dimension ref="A1:A8"/>
  <sheetViews>
    <sheetView workbookViewId="0">
      <selection activeCell="A9" sqref="A9"/>
    </sheetView>
  </sheetViews>
  <sheetFormatPr defaultRowHeight="15" x14ac:dyDescent="0.25"/>
  <sheetData>
    <row r="1" spans="1:1" x14ac:dyDescent="0.25">
      <c r="A1" t="s">
        <v>93</v>
      </c>
    </row>
    <row r="2" spans="1:1" x14ac:dyDescent="0.25">
      <c r="A2" t="s">
        <v>94</v>
      </c>
    </row>
    <row r="3" spans="1:1" x14ac:dyDescent="0.25">
      <c r="A3" t="s">
        <v>95</v>
      </c>
    </row>
    <row r="4" spans="1:1" x14ac:dyDescent="0.25">
      <c r="A4" t="s">
        <v>96</v>
      </c>
    </row>
    <row r="5" spans="1:1" x14ac:dyDescent="0.25">
      <c r="A5" t="s">
        <v>97</v>
      </c>
    </row>
    <row r="6" spans="1:1" x14ac:dyDescent="0.25">
      <c r="A6" t="s">
        <v>98</v>
      </c>
    </row>
    <row r="7" spans="1:1" x14ac:dyDescent="0.25">
      <c r="A7" t="s">
        <v>99</v>
      </c>
    </row>
    <row r="8" spans="1:1" x14ac:dyDescent="0.25">
      <c r="A8" t="s">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980E7-2BC1-406E-B4E2-DE792B34B2A5}">
  <dimension ref="D6:D19"/>
  <sheetViews>
    <sheetView workbookViewId="0">
      <selection activeCell="D11" sqref="D11"/>
    </sheetView>
  </sheetViews>
  <sheetFormatPr defaultRowHeight="15" x14ac:dyDescent="0.25"/>
  <sheetData>
    <row r="6" spans="4:4" ht="15.75" x14ac:dyDescent="0.25">
      <c r="D6" s="23" t="s">
        <v>84</v>
      </c>
    </row>
    <row r="8" spans="4:4" x14ac:dyDescent="0.25">
      <c r="D8" t="s">
        <v>75</v>
      </c>
    </row>
    <row r="9" spans="4:4" x14ac:dyDescent="0.25">
      <c r="D9" t="s">
        <v>102</v>
      </c>
    </row>
    <row r="10" spans="4:4" x14ac:dyDescent="0.25">
      <c r="D10" t="s">
        <v>76</v>
      </c>
    </row>
    <row r="11" spans="4:4" x14ac:dyDescent="0.25">
      <c r="D11" t="s">
        <v>103</v>
      </c>
    </row>
    <row r="12" spans="4:4" x14ac:dyDescent="0.25">
      <c r="D12" t="s">
        <v>90</v>
      </c>
    </row>
    <row r="15" spans="4:4" ht="15.75" x14ac:dyDescent="0.25">
      <c r="D15" s="23" t="s">
        <v>85</v>
      </c>
    </row>
    <row r="16" spans="4:4" x14ac:dyDescent="0.25">
      <c r="D16" t="s">
        <v>86</v>
      </c>
    </row>
    <row r="17" spans="4:4" x14ac:dyDescent="0.25">
      <c r="D17" t="s">
        <v>87</v>
      </c>
    </row>
    <row r="18" spans="4:4" x14ac:dyDescent="0.25">
      <c r="D18" t="s">
        <v>88</v>
      </c>
    </row>
    <row r="19" spans="4:4" x14ac:dyDescent="0.25">
      <c r="D19" t="s">
        <v>89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FEEE-4AB4-4881-A8A3-80F049A04B50}">
  <dimension ref="B5:H9"/>
  <sheetViews>
    <sheetView topLeftCell="D1" workbookViewId="0">
      <selection activeCell="G9" sqref="G9"/>
    </sheetView>
  </sheetViews>
  <sheetFormatPr defaultRowHeight="15" x14ac:dyDescent="0.25"/>
  <sheetData>
    <row r="5" spans="2:8" ht="15.75" x14ac:dyDescent="0.25">
      <c r="B5" s="23" t="s">
        <v>85</v>
      </c>
    </row>
    <row r="6" spans="2:8" x14ac:dyDescent="0.25">
      <c r="B6" s="24" t="s">
        <v>86</v>
      </c>
      <c r="C6" s="24"/>
      <c r="D6" s="24"/>
      <c r="E6" s="24"/>
      <c r="F6" s="24"/>
      <c r="G6" s="24">
        <f>MIN('Cleaned Data'!D2:D255)</f>
        <v>2.95</v>
      </c>
      <c r="H6" s="24"/>
    </row>
    <row r="7" spans="2:8" x14ac:dyDescent="0.25">
      <c r="B7" s="24" t="s">
        <v>87</v>
      </c>
      <c r="C7" s="24"/>
      <c r="D7" s="24"/>
      <c r="E7" s="24"/>
      <c r="F7" s="24"/>
      <c r="G7" s="24">
        <f>AVERAGE('Cleaned Data'!E2:E255)</f>
        <v>460.61145669291284</v>
      </c>
      <c r="H7" s="24"/>
    </row>
    <row r="8" spans="2:8" x14ac:dyDescent="0.25">
      <c r="B8" s="24" t="s">
        <v>88</v>
      </c>
      <c r="C8" s="24"/>
      <c r="D8" s="24"/>
      <c r="E8" s="24"/>
      <c r="F8" s="24"/>
      <c r="G8" s="24">
        <f>SUMIF('Cleaned Data'!I2:I255,"Paris",'Cleaned Data'!J2:J255)</f>
        <v>79800.305099999983</v>
      </c>
      <c r="H8" s="24"/>
    </row>
    <row r="9" spans="2:8" x14ac:dyDescent="0.25">
      <c r="B9" s="24" t="s">
        <v>89</v>
      </c>
      <c r="C9" s="24"/>
      <c r="D9" s="24"/>
      <c r="E9" s="24"/>
      <c r="F9" s="24"/>
      <c r="G9" s="24">
        <f>SUM('Cleaned Data'!E2:E255)</f>
        <v>116995.30999999987</v>
      </c>
      <c r="H9"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0185-8067-4327-BC0B-75C2064B46E6}">
  <dimension ref="D4:L9"/>
  <sheetViews>
    <sheetView tabSelected="1" workbookViewId="0">
      <selection activeCell="M11" sqref="M11"/>
    </sheetView>
  </sheetViews>
  <sheetFormatPr defaultRowHeight="15" x14ac:dyDescent="0.25"/>
  <cols>
    <col min="4" max="4" width="33.140625" bestFit="1" customWidth="1"/>
    <col min="5" max="5" width="30" bestFit="1" customWidth="1"/>
  </cols>
  <sheetData>
    <row r="4" spans="4:12" x14ac:dyDescent="0.25">
      <c r="D4" t="s">
        <v>108</v>
      </c>
      <c r="L4" t="s">
        <v>109</v>
      </c>
    </row>
    <row r="5" spans="4:12" x14ac:dyDescent="0.25">
      <c r="D5" t="s">
        <v>110</v>
      </c>
      <c r="L5" t="s">
        <v>115</v>
      </c>
    </row>
    <row r="6" spans="4:12" x14ac:dyDescent="0.25">
      <c r="D6" t="s">
        <v>111</v>
      </c>
      <c r="L6" t="s">
        <v>116</v>
      </c>
    </row>
    <row r="7" spans="4:12" x14ac:dyDescent="0.25">
      <c r="D7" t="s">
        <v>112</v>
      </c>
      <c r="L7" t="s">
        <v>117</v>
      </c>
    </row>
    <row r="8" spans="4:12" x14ac:dyDescent="0.25">
      <c r="D8" t="s">
        <v>113</v>
      </c>
      <c r="L8" t="s">
        <v>118</v>
      </c>
    </row>
    <row r="9" spans="4:12" x14ac:dyDescent="0.25">
      <c r="D9" t="s">
        <v>114</v>
      </c>
      <c r="L9" t="s">
        <v>119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72CE77-5B07-4A1C-8C85-EA07295700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Charts new</vt:lpstr>
      <vt:lpstr>Cleaned Data</vt:lpstr>
      <vt:lpstr>Dashboard</vt:lpstr>
      <vt:lpstr>Charts</vt:lpstr>
      <vt:lpstr>Changelog</vt:lpstr>
      <vt:lpstr>Questions</vt:lpstr>
      <vt:lpstr>Analysis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2026-09-12T09:22:19Z</dcterms:created>
  <dcterms:modified xsi:type="dcterms:W3CDTF">2026-09-21T07:37:02Z</dcterms:modified>
</cp:coreProperties>
</file>